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oct\"/>
    </mc:Choice>
  </mc:AlternateContent>
  <bookViews>
    <workbookView xWindow="0" yWindow="0" windowWidth="20490" windowHeight="7755" activeTab="4"/>
  </bookViews>
  <sheets>
    <sheet name="SALES ACCOUNT" sheetId="1" r:id="rId1"/>
    <sheet name="DENI" sheetId="5" r:id="rId2"/>
    <sheet name="DISCOUNT ACCOUNT" sheetId="9" r:id="rId3"/>
    <sheet name="LIABILITY" sheetId="7" r:id="rId4"/>
    <sheet name="ACCOUNTS" sheetId="6" r:id="rId5"/>
    <sheet name="EXPENSE ACCOUNT" sheetId="8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D8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F33" i="1" l="1"/>
  <c r="D126" i="1" l="1"/>
  <c r="Q39" i="1" l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S39" i="1"/>
  <c r="R39" i="1"/>
  <c r="P39" i="1"/>
  <c r="D129" i="1"/>
  <c r="K34" i="1" l="1"/>
  <c r="L7" i="6" l="1"/>
  <c r="T144" i="1" l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E144" i="1"/>
  <c r="L12" i="6" l="1"/>
  <c r="U114" i="1" l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13" i="1"/>
  <c r="U144" i="1" l="1"/>
  <c r="E33" i="1"/>
  <c r="E34" i="1" s="1"/>
  <c r="T33" i="1"/>
  <c r="T34" i="1" s="1"/>
  <c r="S33" i="1"/>
  <c r="S34" i="1" s="1"/>
  <c r="R33" i="1"/>
  <c r="R34" i="1" s="1"/>
  <c r="Q33" i="1"/>
  <c r="Q34" i="1" s="1"/>
  <c r="P33" i="1"/>
  <c r="P34" i="1" s="1"/>
  <c r="O33" i="1"/>
  <c r="O34" i="1" s="1"/>
  <c r="N33" i="1"/>
  <c r="N34" i="1" s="1"/>
  <c r="M33" i="1"/>
  <c r="M34" i="1" s="1"/>
  <c r="L33" i="1"/>
  <c r="L34" i="1" s="1"/>
  <c r="K33" i="1"/>
  <c r="J33" i="1"/>
  <c r="J34" i="1" s="1"/>
  <c r="I33" i="1"/>
  <c r="I34" i="1" s="1"/>
  <c r="H33" i="1"/>
  <c r="H34" i="1" s="1"/>
  <c r="G33" i="1"/>
  <c r="G34" i="1" s="1"/>
  <c r="F34" i="1"/>
  <c r="N40" i="1" l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39" i="1"/>
  <c r="N39" i="1"/>
  <c r="R78" i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Q78" i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K78" i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J78" i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77" i="1"/>
  <c r="K77" i="1"/>
  <c r="Q77" i="1"/>
  <c r="R77" i="1"/>
  <c r="E76" i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F76" i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G76" i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H76" i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I76" i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J76" i="1"/>
  <c r="K76" i="1"/>
  <c r="L76" i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N76" i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O76" i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Q76" i="1"/>
  <c r="R76" i="1"/>
  <c r="S76" i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4" i="1" s="1"/>
  <c r="S105" i="1" s="1"/>
  <c r="S106" i="1" s="1"/>
  <c r="T76" i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U153" i="1"/>
  <c r="P76" i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N70" i="1" l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2" i="1"/>
  <c r="U33" i="1" l="1"/>
  <c r="U34" i="1" s="1"/>
  <c r="AI35" i="8"/>
  <c r="AI34" i="8"/>
  <c r="AI33" i="8"/>
  <c r="AI32" i="8"/>
  <c r="AI31" i="8"/>
  <c r="AI30" i="8"/>
  <c r="AI29" i="8"/>
  <c r="AI28" i="8"/>
  <c r="AI27" i="8"/>
  <c r="AI26" i="8"/>
  <c r="AI25" i="8"/>
  <c r="AI24" i="8"/>
  <c r="AI23" i="8"/>
  <c r="AI22" i="8"/>
  <c r="AI21" i="8"/>
  <c r="AI20" i="8"/>
  <c r="AI19" i="8"/>
  <c r="AI18" i="8"/>
  <c r="AI17" i="8"/>
  <c r="AI16" i="8"/>
  <c r="AI15" i="8"/>
  <c r="AI14" i="8"/>
  <c r="AI13" i="8"/>
  <c r="AI12" i="8"/>
  <c r="AI11" i="8"/>
  <c r="AI10" i="8"/>
  <c r="AI9" i="8"/>
  <c r="AI8" i="8"/>
  <c r="AI7" i="8"/>
  <c r="AI6" i="8"/>
  <c r="A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5" i="8"/>
  <c r="I36" i="8" s="1"/>
  <c r="AI36" i="8" l="1"/>
  <c r="E39" i="1"/>
  <c r="G37" i="7"/>
  <c r="F37" i="7"/>
  <c r="H38" i="7" s="1"/>
  <c r="D37" i="7"/>
  <c r="H6" i="7"/>
  <c r="H7" i="7" s="1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36" i="7" s="1"/>
  <c r="H37" i="7" s="1"/>
  <c r="E6" i="7"/>
  <c r="J38" i="6"/>
  <c r="L9" i="6"/>
  <c r="L10" i="6"/>
  <c r="L11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8" i="6"/>
  <c r="F38" i="6"/>
  <c r="G38" i="6"/>
  <c r="I38" i="6"/>
  <c r="D38" i="6"/>
  <c r="C38" i="6"/>
  <c r="C37" i="7"/>
  <c r="C33" i="1"/>
  <c r="C35" i="9"/>
  <c r="S36" i="8"/>
  <c r="E7" i="7" l="1"/>
  <c r="J5" i="7"/>
  <c r="L38" i="6"/>
  <c r="E38" i="7"/>
  <c r="K7" i="6"/>
  <c r="K8" i="6" s="1"/>
  <c r="K9" i="6" s="1"/>
  <c r="K10" i="6" s="1"/>
  <c r="K11" i="6" s="1"/>
  <c r="K12" i="6" s="1"/>
  <c r="K13" i="6" s="1"/>
  <c r="K14" i="6" s="1"/>
  <c r="K15" i="6" s="1"/>
  <c r="K16" i="6" s="1"/>
  <c r="K17" i="6" s="1"/>
  <c r="K18" i="6" s="1"/>
  <c r="K19" i="6" s="1"/>
  <c r="K20" i="6" s="1"/>
  <c r="K21" i="6" s="1"/>
  <c r="K22" i="6" s="1"/>
  <c r="K23" i="6" s="1"/>
  <c r="K24" i="6" s="1"/>
  <c r="K25" i="6" s="1"/>
  <c r="K26" i="6" s="1"/>
  <c r="K27" i="6" s="1"/>
  <c r="K28" i="6" s="1"/>
  <c r="K29" i="6" s="1"/>
  <c r="K30" i="6" s="1"/>
  <c r="K31" i="6" s="1"/>
  <c r="K32" i="6" s="1"/>
  <c r="K33" i="6" s="1"/>
  <c r="K34" i="6" s="1"/>
  <c r="K35" i="6" s="1"/>
  <c r="K36" i="6" s="1"/>
  <c r="K37" i="6" s="1"/>
  <c r="K39" i="6" s="1"/>
  <c r="H7" i="6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9" i="6" s="1"/>
  <c r="E8" i="6"/>
  <c r="F3" i="6"/>
  <c r="E7" i="6"/>
  <c r="E5" i="5"/>
  <c r="E6" i="5" s="1"/>
  <c r="R70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Q70" i="1"/>
  <c r="L67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39" i="1"/>
  <c r="L40" i="1"/>
  <c r="D3" i="1" s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8" i="1"/>
  <c r="L69" i="1"/>
  <c r="L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39" i="1"/>
  <c r="J40" i="1"/>
  <c r="J41" i="1"/>
  <c r="D4" i="1" s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39" i="1"/>
  <c r="H39" i="1"/>
  <c r="H40" i="1"/>
  <c r="H41" i="1"/>
  <c r="H42" i="1"/>
  <c r="D5" i="1" s="1"/>
  <c r="H43" i="1"/>
  <c r="H44" i="1"/>
  <c r="H45" i="1"/>
  <c r="H46" i="1"/>
  <c r="D9" i="1" s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E37" i="1"/>
  <c r="F37" i="1"/>
  <c r="E40" i="1"/>
  <c r="E41" i="1"/>
  <c r="E42" i="1"/>
  <c r="E43" i="1"/>
  <c r="D6" i="1" s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D52" i="1" l="1"/>
  <c r="J70" i="1"/>
  <c r="M7" i="6"/>
  <c r="J6" i="7"/>
  <c r="E8" i="7"/>
  <c r="J7" i="7" s="1"/>
  <c r="D39" i="1"/>
  <c r="D2" i="1"/>
  <c r="D64" i="1"/>
  <c r="D69" i="1"/>
  <c r="D41" i="1"/>
  <c r="D61" i="1"/>
  <c r="D62" i="1"/>
  <c r="D65" i="1"/>
  <c r="D57" i="1"/>
  <c r="D68" i="1"/>
  <c r="D66" i="1"/>
  <c r="D60" i="1"/>
  <c r="D56" i="1"/>
  <c r="E70" i="1"/>
  <c r="S70" i="1"/>
  <c r="D46" i="1"/>
  <c r="T70" i="1"/>
  <c r="I70" i="1"/>
  <c r="H70" i="1"/>
  <c r="E7" i="5"/>
  <c r="E8" i="5" s="1"/>
  <c r="E9" i="5" s="1"/>
  <c r="E10" i="5" s="1"/>
  <c r="M8" i="6"/>
  <c r="E9" i="6"/>
  <c r="G70" i="1"/>
  <c r="D54" i="1"/>
  <c r="D53" i="1"/>
  <c r="P70" i="1"/>
  <c r="D50" i="1"/>
  <c r="O70" i="1"/>
  <c r="D49" i="1"/>
  <c r="D48" i="1"/>
  <c r="M70" i="1"/>
  <c r="L70" i="1"/>
  <c r="K70" i="1"/>
  <c r="D45" i="1"/>
  <c r="D44" i="1"/>
  <c r="F70" i="1"/>
  <c r="D40" i="1"/>
  <c r="D58" i="1"/>
  <c r="D42" i="1"/>
  <c r="D67" i="1"/>
  <c r="D63" i="1"/>
  <c r="D59" i="1"/>
  <c r="D55" i="1"/>
  <c r="D51" i="1"/>
  <c r="D47" i="1"/>
  <c r="D43" i="1"/>
  <c r="E9" i="7" l="1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D70" i="1"/>
  <c r="D33" i="1"/>
  <c r="E10" i="6"/>
  <c r="M9" i="6"/>
  <c r="E10" i="7" l="1"/>
  <c r="J8" i="7"/>
  <c r="E11" i="6"/>
  <c r="M10" i="6"/>
  <c r="J9" i="7" l="1"/>
  <c r="E11" i="7"/>
  <c r="E12" i="6"/>
  <c r="M11" i="6"/>
  <c r="E13" i="6" l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M12" i="6"/>
  <c r="E12" i="7"/>
  <c r="J10" i="7"/>
  <c r="E13" i="7" l="1"/>
  <c r="J11" i="7"/>
  <c r="M13" i="6"/>
  <c r="E14" i="7" l="1"/>
  <c r="J12" i="7"/>
  <c r="M14" i="6"/>
  <c r="E15" i="7" l="1"/>
  <c r="J13" i="7"/>
  <c r="M15" i="6"/>
  <c r="J14" i="7" l="1"/>
  <c r="E16" i="7"/>
  <c r="M16" i="6"/>
  <c r="E17" i="7" l="1"/>
  <c r="J15" i="7"/>
  <c r="M17" i="6"/>
  <c r="E18" i="7" l="1"/>
  <c r="J16" i="7"/>
  <c r="M18" i="6"/>
  <c r="E19" i="7" l="1"/>
  <c r="J17" i="7"/>
  <c r="M19" i="6"/>
  <c r="E20" i="7" l="1"/>
  <c r="J18" i="7"/>
  <c r="M20" i="6"/>
  <c r="E21" i="7" l="1"/>
  <c r="J19" i="7"/>
  <c r="M21" i="6"/>
  <c r="E22" i="7" l="1"/>
  <c r="J20" i="7"/>
  <c r="M22" i="6"/>
  <c r="J21" i="7" l="1"/>
  <c r="E23" i="7"/>
  <c r="M23" i="6"/>
  <c r="E24" i="7" l="1"/>
  <c r="J22" i="7"/>
  <c r="M24" i="6"/>
  <c r="E25" i="7" l="1"/>
  <c r="J23" i="7"/>
  <c r="M25" i="6"/>
  <c r="E26" i="7" l="1"/>
  <c r="J24" i="7"/>
  <c r="M26" i="6"/>
  <c r="J25" i="7" l="1"/>
  <c r="E27" i="7"/>
  <c r="M27" i="6"/>
  <c r="E28" i="7" l="1"/>
  <c r="J26" i="7"/>
  <c r="M28" i="6"/>
  <c r="E29" i="7" l="1"/>
  <c r="J27" i="7"/>
  <c r="M29" i="6"/>
  <c r="E30" i="7" l="1"/>
  <c r="J28" i="7"/>
  <c r="M30" i="6"/>
  <c r="E31" i="7" l="1"/>
  <c r="J29" i="7"/>
  <c r="M31" i="6"/>
  <c r="J30" i="7" l="1"/>
  <c r="E32" i="7"/>
  <c r="M32" i="6"/>
  <c r="E33" i="7" l="1"/>
  <c r="J31" i="7"/>
  <c r="M33" i="6"/>
  <c r="E34" i="7" l="1"/>
  <c r="J32" i="7"/>
  <c r="M34" i="6"/>
  <c r="J33" i="7" l="1"/>
  <c r="E35" i="7"/>
  <c r="M35" i="6"/>
  <c r="E36" i="7" l="1"/>
  <c r="J34" i="7"/>
  <c r="M36" i="6"/>
  <c r="E37" i="7" l="1"/>
  <c r="J36" i="7" s="1"/>
  <c r="J35" i="7"/>
  <c r="E39" i="6"/>
  <c r="L39" i="6" s="1"/>
  <c r="M37" i="6"/>
  <c r="M39" i="6" s="1"/>
  <c r="D113" i="1"/>
  <c r="D136" i="1"/>
  <c r="D142" i="1"/>
  <c r="D115" i="1"/>
  <c r="D131" i="1"/>
  <c r="D140" i="1"/>
  <c r="D114" i="1"/>
  <c r="D118" i="1"/>
  <c r="D122" i="1"/>
  <c r="D130" i="1"/>
  <c r="D134" i="1"/>
  <c r="D138" i="1"/>
  <c r="D119" i="1"/>
  <c r="D127" i="1"/>
  <c r="D139" i="1"/>
  <c r="D141" i="1"/>
  <c r="D117" i="1"/>
  <c r="D121" i="1"/>
  <c r="D133" i="1"/>
  <c r="D135" i="1"/>
  <c r="D116" i="1"/>
  <c r="D123" i="1"/>
  <c r="D143" i="1"/>
  <c r="D132" i="1"/>
  <c r="D125" i="1"/>
  <c r="D137" i="1"/>
  <c r="D120" i="1"/>
  <c r="D124" i="1"/>
  <c r="D128" i="1"/>
  <c r="M76" i="1"/>
  <c r="D76" i="1" s="1"/>
  <c r="D144" i="1" l="1"/>
  <c r="M77" i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D77" i="1" l="1"/>
  <c r="D78" i="1" l="1"/>
  <c r="D79" i="1" l="1"/>
  <c r="D80" i="1" l="1"/>
  <c r="D81" i="1" l="1"/>
  <c r="D82" i="1" l="1"/>
  <c r="D83" i="1" l="1"/>
  <c r="D84" i="1" l="1"/>
  <c r="D85" i="1" l="1"/>
  <c r="D86" i="1" l="1"/>
  <c r="D87" i="1" l="1"/>
  <c r="D88" i="1" l="1"/>
  <c r="D89" i="1" l="1"/>
  <c r="D90" i="1" l="1"/>
  <c r="D91" i="1" l="1"/>
  <c r="D92" i="1" l="1"/>
  <c r="D93" i="1" l="1"/>
  <c r="D94" i="1" l="1"/>
  <c r="D95" i="1" l="1"/>
  <c r="D96" i="1" l="1"/>
  <c r="D97" i="1" l="1"/>
  <c r="D98" i="1" l="1"/>
  <c r="D99" i="1" l="1"/>
  <c r="D100" i="1" l="1"/>
  <c r="D101" i="1" l="1"/>
  <c r="D102" i="1" l="1"/>
  <c r="D103" i="1" l="1"/>
  <c r="D104" i="1" l="1"/>
  <c r="D106" i="1" l="1"/>
  <c r="D105" i="1"/>
</calcChain>
</file>

<file path=xl/sharedStrings.xml><?xml version="1.0" encoding="utf-8"?>
<sst xmlns="http://schemas.openxmlformats.org/spreadsheetml/2006/main" count="549" uniqueCount="82">
  <si>
    <t>DAY</t>
  </si>
  <si>
    <t>DATE</t>
  </si>
  <si>
    <t>MONDAY</t>
  </si>
  <si>
    <t>TUESDAY</t>
  </si>
  <si>
    <t>WEDNESDAY</t>
  </si>
  <si>
    <t>THURSDAY</t>
  </si>
  <si>
    <t>FRIDAY</t>
  </si>
  <si>
    <t>SATURDAY</t>
  </si>
  <si>
    <t>SUNDAY</t>
  </si>
  <si>
    <t>AIR</t>
  </si>
  <si>
    <t>BATMAN</t>
  </si>
  <si>
    <t>PURPLE</t>
  </si>
  <si>
    <t>SAMBA W</t>
  </si>
  <si>
    <t>SAMBA B</t>
  </si>
  <si>
    <t>J1 BLACK</t>
  </si>
  <si>
    <t>J1 BLUE</t>
  </si>
  <si>
    <t>OR SAMBA</t>
  </si>
  <si>
    <t>AIRMAX 90</t>
  </si>
  <si>
    <t>DIOR BLACK</t>
  </si>
  <si>
    <t>DIOR GREY</t>
  </si>
  <si>
    <t>SAMBA BIGSOLE</t>
  </si>
  <si>
    <t>NB</t>
  </si>
  <si>
    <t>NB SPORT</t>
  </si>
  <si>
    <t>STAN B</t>
  </si>
  <si>
    <t>STAN W</t>
  </si>
  <si>
    <t>SALES</t>
  </si>
  <si>
    <t>TOTAL</t>
  </si>
  <si>
    <t>SALES A/C</t>
  </si>
  <si>
    <t>SALES PER SHOE</t>
  </si>
  <si>
    <t>PAIRS REMAINING</t>
  </si>
  <si>
    <t>ALL PAIRS REM</t>
  </si>
  <si>
    <t>PAIR REM FROM LAST MONTH</t>
  </si>
  <si>
    <t>AMNT RETURNED</t>
  </si>
  <si>
    <t>SALES RETURN A/C</t>
  </si>
  <si>
    <t xml:space="preserve"> </t>
  </si>
  <si>
    <t>Db</t>
  </si>
  <si>
    <t>Cr</t>
  </si>
  <si>
    <t>Bal</t>
  </si>
  <si>
    <t>MPESA</t>
  </si>
  <si>
    <t>TILL</t>
  </si>
  <si>
    <t>CASH</t>
  </si>
  <si>
    <t>RECEIVABLES</t>
  </si>
  <si>
    <t>RECEIVABLES EO LAST MONTH</t>
  </si>
  <si>
    <t>BALANCE EOLM</t>
  </si>
  <si>
    <t>ACCRUED EXPENSES</t>
  </si>
  <si>
    <t>ITEM</t>
  </si>
  <si>
    <t>COST</t>
  </si>
  <si>
    <t>PREPAID EXPENSES</t>
  </si>
  <si>
    <t>ACCOUNTS PAYABLE(DE)</t>
  </si>
  <si>
    <t>NAME</t>
  </si>
  <si>
    <t>MOTO</t>
  </si>
  <si>
    <t>OTHER SALES</t>
  </si>
  <si>
    <t>DAILY SALES</t>
  </si>
  <si>
    <t>DISCOUNT</t>
  </si>
  <si>
    <t>LOP</t>
  </si>
  <si>
    <t>LOG</t>
  </si>
  <si>
    <t>LOAN    EOLM</t>
  </si>
  <si>
    <t>DAILY TOTAL</t>
  </si>
  <si>
    <t>LOAN FOR THIS MONTH ONLY</t>
  </si>
  <si>
    <t>DENI TOTAL</t>
  </si>
  <si>
    <t>total pairs sold</t>
  </si>
  <si>
    <t>rent</t>
  </si>
  <si>
    <t>TOTAL DEBT</t>
  </si>
  <si>
    <t>LOP(LONG TERM)</t>
  </si>
  <si>
    <t>LOG(SHORT TERM)</t>
  </si>
  <si>
    <t>RESTOCK</t>
  </si>
  <si>
    <t>sales +  receivables from last month - returns - total receivables currently = total in accounts for that period(mpesa + till + cash)</t>
  </si>
  <si>
    <t>total without discount</t>
  </si>
  <si>
    <t>*</t>
  </si>
  <si>
    <t>* soo moto deni</t>
  </si>
  <si>
    <t>* soo moto deni paid</t>
  </si>
  <si>
    <t>DENI</t>
  </si>
  <si>
    <t>DENI PAID NA RETURNS</t>
  </si>
  <si>
    <t>total</t>
  </si>
  <si>
    <t>smasher</t>
  </si>
  <si>
    <t>stan b</t>
  </si>
  <si>
    <t>1box(100)returned</t>
  </si>
  <si>
    <t>upkeep</t>
  </si>
  <si>
    <t>***</t>
  </si>
  <si>
    <t>pairs sold</t>
  </si>
  <si>
    <t>advance</t>
  </si>
  <si>
    <t>grace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</si>
</sst>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7" tint="0.79998168889431442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49998474074526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/>
    <xf numFmtId="2" fontId="0" fillId="0" borderId="0" xfId="0" applyNumberFormat="1"/>
    <xf numFmtId="2" fontId="1" fillId="0" borderId="0" xfId="0" applyNumberFormat="1" applyFont="1"/>
    <xf numFmtId="0" fontId="2" fillId="3" borderId="0" xfId="0" applyFont="1" applyFill="1"/>
    <xf numFmtId="0" fontId="1" fillId="0" borderId="0" xfId="0" applyFont="1" applyFill="1" applyAlignment="1"/>
    <xf numFmtId="0" fontId="1" fillId="0" borderId="0" xfId="0" applyFont="1" applyFill="1"/>
    <xf numFmtId="0" fontId="0" fillId="4" borderId="0" xfId="0" applyFill="1"/>
    <xf numFmtId="0" fontId="0" fillId="0" borderId="0" xfId="0" applyBorder="1"/>
    <xf numFmtId="0" fontId="0" fillId="2" borderId="0" xfId="0" applyFill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0" xfId="0" applyFont="1" applyFill="1"/>
    <xf numFmtId="0" fontId="1" fillId="5" borderId="0" xfId="0" applyFont="1" applyFill="1"/>
    <xf numFmtId="0" fontId="1" fillId="4" borderId="0" xfId="0" applyFont="1" applyFill="1"/>
    <xf numFmtId="0" fontId="0" fillId="6" borderId="0" xfId="0" applyFill="1"/>
    <xf numFmtId="0" fontId="4" fillId="7" borderId="3" xfId="0" applyFont="1" applyFill="1" applyBorder="1"/>
    <xf numFmtId="0" fontId="4" fillId="7" borderId="4" xfId="0" applyFont="1" applyFill="1" applyBorder="1"/>
    <xf numFmtId="0" fontId="0" fillId="9" borderId="0" xfId="0" applyFill="1"/>
    <xf numFmtId="2" fontId="0" fillId="6" borderId="0" xfId="0" applyNumberFormat="1" applyFill="1"/>
    <xf numFmtId="0" fontId="0" fillId="8" borderId="0" xfId="0" applyFill="1" applyBorder="1"/>
    <xf numFmtId="0" fontId="0" fillId="8" borderId="9" xfId="0" applyFill="1" applyBorder="1"/>
    <xf numFmtId="2" fontId="0" fillId="4" borderId="5" xfId="0" applyNumberFormat="1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0" xfId="0" applyFill="1" applyBorder="1"/>
    <xf numFmtId="0" fontId="0" fillId="4" borderId="9" xfId="0" applyFill="1" applyBorder="1"/>
    <xf numFmtId="0" fontId="3" fillId="5" borderId="0" xfId="0" applyFont="1" applyFill="1"/>
    <xf numFmtId="2" fontId="1" fillId="8" borderId="10" xfId="0" applyNumberFormat="1" applyFont="1" applyFill="1" applyBorder="1"/>
    <xf numFmtId="2" fontId="1" fillId="8" borderId="11" xfId="0" applyNumberFormat="1" applyFont="1" applyFill="1" applyBorder="1"/>
    <xf numFmtId="14" fontId="0" fillId="9" borderId="0" xfId="0" applyNumberFormat="1" applyFill="1"/>
    <xf numFmtId="0" fontId="1" fillId="9" borderId="2" xfId="0" applyFont="1" applyFill="1" applyBorder="1"/>
    <xf numFmtId="0" fontId="0" fillId="0" borderId="0" xfId="0" applyFill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9" xfId="0" applyFill="1" applyBorder="1"/>
    <xf numFmtId="0" fontId="1" fillId="0" borderId="9" xfId="0" applyFont="1" applyFill="1" applyBorder="1"/>
    <xf numFmtId="2" fontId="1" fillId="5" borderId="0" xfId="0" applyNumberFormat="1" applyFont="1" applyFill="1"/>
    <xf numFmtId="2" fontId="0" fillId="5" borderId="0" xfId="0" applyNumberFormat="1" applyFont="1" applyFill="1"/>
    <xf numFmtId="0" fontId="1" fillId="6" borderId="9" xfId="0" applyFont="1" applyFill="1" applyBorder="1"/>
    <xf numFmtId="0" fontId="1" fillId="12" borderId="1" xfId="0" applyFont="1" applyFill="1" applyBorder="1"/>
    <xf numFmtId="0" fontId="1" fillId="11" borderId="1" xfId="0" applyFont="1" applyFill="1" applyBorder="1"/>
    <xf numFmtId="0" fontId="0" fillId="9" borderId="1" xfId="0" applyFill="1" applyBorder="1"/>
    <xf numFmtId="0" fontId="0" fillId="13" borderId="1" xfId="0" applyFill="1" applyBorder="1"/>
    <xf numFmtId="0" fontId="1" fillId="14" borderId="1" xfId="0" applyFont="1" applyFill="1" applyBorder="1"/>
    <xf numFmtId="0" fontId="0" fillId="14" borderId="1" xfId="0" applyFill="1" applyBorder="1"/>
    <xf numFmtId="2" fontId="0" fillId="14" borderId="1" xfId="0" applyNumberFormat="1" applyFill="1" applyBorder="1"/>
    <xf numFmtId="0" fontId="3" fillId="15" borderId="1" xfId="0" applyFont="1" applyFill="1" applyBorder="1"/>
    <xf numFmtId="2" fontId="0" fillId="15" borderId="1" xfId="0" applyNumberFormat="1" applyFill="1" applyBorder="1"/>
    <xf numFmtId="0" fontId="1" fillId="15" borderId="1" xfId="0" applyFont="1" applyFill="1" applyBorder="1"/>
    <xf numFmtId="14" fontId="0" fillId="15" borderId="1" xfId="0" applyNumberFormat="1" applyFill="1" applyBorder="1"/>
    <xf numFmtId="2" fontId="0" fillId="0" borderId="1" xfId="0" applyNumberFormat="1" applyBorder="1"/>
    <xf numFmtId="0" fontId="0" fillId="0" borderId="7" xfId="0" applyBorder="1"/>
    <xf numFmtId="0" fontId="0" fillId="15" borderId="1" xfId="0" applyFill="1" applyBorder="1"/>
    <xf numFmtId="0" fontId="0" fillId="10" borderId="14" xfId="0" applyFill="1" applyBorder="1"/>
    <xf numFmtId="0" fontId="0" fillId="10" borderId="1" xfId="0" applyFill="1" applyBorder="1"/>
    <xf numFmtId="0" fontId="0" fillId="10" borderId="16" xfId="0" applyFill="1" applyBorder="1"/>
    <xf numFmtId="0" fontId="0" fillId="14" borderId="14" xfId="0" applyFill="1" applyBorder="1"/>
    <xf numFmtId="0" fontId="0" fillId="14" borderId="15" xfId="0" applyFill="1" applyBorder="1"/>
    <xf numFmtId="0" fontId="0" fillId="14" borderId="16" xfId="0" applyFill="1" applyBorder="1"/>
    <xf numFmtId="0" fontId="1" fillId="15" borderId="12" xfId="0" applyFont="1" applyFill="1" applyBorder="1"/>
    <xf numFmtId="0" fontId="1" fillId="15" borderId="13" xfId="0" applyFont="1" applyFill="1" applyBorder="1"/>
    <xf numFmtId="0" fontId="0" fillId="14" borderId="13" xfId="0" applyFill="1" applyBorder="1"/>
    <xf numFmtId="0" fontId="0" fillId="14" borderId="18" xfId="0" applyFill="1" applyBorder="1"/>
    <xf numFmtId="0" fontId="0" fillId="15" borderId="16" xfId="0" applyFill="1" applyBorder="1"/>
    <xf numFmtId="0" fontId="0" fillId="14" borderId="19" xfId="0" applyFill="1" applyBorder="1"/>
    <xf numFmtId="0" fontId="0" fillId="15" borderId="13" xfId="0" applyFill="1" applyBorder="1"/>
    <xf numFmtId="0" fontId="0" fillId="15" borderId="17" xfId="0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10" borderId="13" xfId="0" applyFill="1" applyBorder="1"/>
    <xf numFmtId="0" fontId="0" fillId="14" borderId="12" xfId="0" applyFill="1" applyBorder="1"/>
    <xf numFmtId="0" fontId="5" fillId="3" borderId="5" xfId="0" applyFont="1" applyFill="1" applyBorder="1"/>
    <xf numFmtId="14" fontId="0" fillId="0" borderId="9" xfId="0" applyNumberFormat="1" applyBorder="1"/>
    <xf numFmtId="0" fontId="4" fillId="7" borderId="20" xfId="0" applyFont="1" applyFill="1" applyBorder="1"/>
    <xf numFmtId="0" fontId="1" fillId="14" borderId="0" xfId="0" applyFont="1" applyFill="1"/>
    <xf numFmtId="0" fontId="0" fillId="14" borderId="0" xfId="0" applyFill="1"/>
    <xf numFmtId="0" fontId="1" fillId="2" borderId="0" xfId="0" applyFont="1" applyFill="1"/>
    <xf numFmtId="0" fontId="0" fillId="16" borderId="0" xfId="0" applyFill="1"/>
    <xf numFmtId="0" fontId="0" fillId="0" borderId="1" xfId="0" applyBorder="1"/>
    <xf numFmtId="0" fontId="5" fillId="17" borderId="11" xfId="0" applyFont="1" applyFill="1" applyBorder="1"/>
    <xf numFmtId="0" fontId="1" fillId="6" borderId="0" xfId="0" applyFont="1" applyFill="1"/>
    <xf numFmtId="0" fontId="0" fillId="6" borderId="14" xfId="0" applyFill="1" applyBorder="1"/>
    <xf numFmtId="0" fontId="0" fillId="6" borderId="1" xfId="0" applyFill="1" applyBorder="1"/>
    <xf numFmtId="0" fontId="0" fillId="6" borderId="18" xfId="0" applyFill="1" applyBorder="1"/>
    <xf numFmtId="0" fontId="0" fillId="18" borderId="0" xfId="0" applyFill="1"/>
    <xf numFmtId="0" fontId="6" fillId="0" borderId="0" xfId="0" applyFont="1"/>
    <xf numFmtId="0" fontId="0" fillId="16" borderId="0" xfId="0" applyFont="1" applyFill="1"/>
    <xf numFmtId="0" fontId="3" fillId="17" borderId="11" xfId="0" applyFont="1" applyFill="1" applyBorder="1"/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14" borderId="0" xfId="0" applyFont="1" applyFill="1" applyAlignment="1">
      <alignment horizontal="center"/>
    </xf>
    <xf numFmtId="0" fontId="1" fillId="18" borderId="0" xfId="0" applyFont="1" applyFill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2" fontId="0" fillId="4" borderId="2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W181"/>
  <sheetViews>
    <sheetView topLeftCell="A2" zoomScale="77" zoomScaleNormal="77" workbookViewId="0">
      <selection activeCell="C11" sqref="C11"/>
    </sheetView>
  </sheetViews>
  <sheetFormatPr defaultRowHeight="15" x14ac:dyDescent="0.25"/>
  <cols>
    <col min="1" max="1" width="10.42578125" customWidth="1"/>
    <col min="2" max="2" width="11.5703125" bestFit="1" customWidth="1"/>
    <col min="3" max="3" width="13.140625" customWidth="1"/>
    <col min="4" max="4" width="17.42578125" bestFit="1" customWidth="1"/>
    <col min="8" max="8" width="10.28515625" bestFit="1" customWidth="1"/>
    <col min="9" max="9" width="9.5703125" bestFit="1" customWidth="1"/>
    <col min="11" max="11" width="8.140625" bestFit="1" customWidth="1"/>
    <col min="12" max="12" width="11" bestFit="1" customWidth="1"/>
    <col min="13" max="13" width="11.28515625" bestFit="1" customWidth="1"/>
    <col min="14" max="14" width="12.140625" bestFit="1" customWidth="1"/>
    <col min="15" max="15" width="11.42578125" bestFit="1" customWidth="1"/>
    <col min="16" max="16" width="16.42578125" bestFit="1" customWidth="1"/>
    <col min="18" max="18" width="10.28515625" bestFit="1" customWidth="1"/>
    <col min="21" max="21" width="13.5703125" bestFit="1" customWidth="1"/>
  </cols>
  <sheetData>
    <row r="1" spans="1:21" ht="15.75" thickBot="1" x14ac:dyDescent="0.3">
      <c r="A1" s="8" t="s">
        <v>27</v>
      </c>
      <c r="B1" s="35" t="s">
        <v>1</v>
      </c>
      <c r="C1" s="20" t="s">
        <v>51</v>
      </c>
      <c r="D1" s="20" t="s">
        <v>52</v>
      </c>
      <c r="E1" s="20" t="s">
        <v>9</v>
      </c>
      <c r="F1" s="20" t="s">
        <v>10</v>
      </c>
      <c r="G1" s="20" t="s">
        <v>11</v>
      </c>
      <c r="H1" s="20" t="s">
        <v>12</v>
      </c>
      <c r="I1" s="20" t="s">
        <v>13</v>
      </c>
      <c r="J1" s="20" t="s">
        <v>14</v>
      </c>
      <c r="K1" s="20" t="s">
        <v>15</v>
      </c>
      <c r="L1" s="20" t="s">
        <v>16</v>
      </c>
      <c r="M1" s="20" t="s">
        <v>17</v>
      </c>
      <c r="N1" s="20" t="s">
        <v>18</v>
      </c>
      <c r="O1" s="20" t="s">
        <v>19</v>
      </c>
      <c r="P1" s="20" t="s">
        <v>20</v>
      </c>
      <c r="Q1" s="20" t="s">
        <v>21</v>
      </c>
      <c r="R1" s="20" t="s">
        <v>22</v>
      </c>
      <c r="S1" s="20" t="s">
        <v>23</v>
      </c>
      <c r="T1" s="21" t="s">
        <v>24</v>
      </c>
      <c r="U1" s="81" t="s">
        <v>60</v>
      </c>
    </row>
    <row r="2" spans="1:21" ht="15.75" thickBot="1" x14ac:dyDescent="0.3">
      <c r="A2" s="22" t="s">
        <v>3</v>
      </c>
      <c r="B2" s="34">
        <v>45566</v>
      </c>
      <c r="C2" s="26">
        <v>0</v>
      </c>
      <c r="D2" s="113">
        <f>SUM(E39:T39,C2)</f>
        <v>0</v>
      </c>
      <c r="E2" s="27">
        <v>0</v>
      </c>
      <c r="F2" s="27">
        <v>0</v>
      </c>
      <c r="G2" s="27">
        <v>0</v>
      </c>
      <c r="H2" s="27">
        <v>0</v>
      </c>
      <c r="I2" s="27">
        <v>0</v>
      </c>
      <c r="J2" s="27">
        <v>0</v>
      </c>
      <c r="K2" s="27">
        <v>0</v>
      </c>
      <c r="L2" s="27">
        <v>0</v>
      </c>
      <c r="M2" s="27">
        <v>0</v>
      </c>
      <c r="N2" s="27">
        <v>0</v>
      </c>
      <c r="O2" s="27">
        <v>0</v>
      </c>
      <c r="P2" s="27">
        <v>0</v>
      </c>
      <c r="Q2" s="27">
        <v>0</v>
      </c>
      <c r="R2" s="27">
        <v>0</v>
      </c>
      <c r="S2" s="27">
        <v>0</v>
      </c>
      <c r="T2" s="28">
        <v>0</v>
      </c>
      <c r="U2" s="5">
        <f>SUM(E2:T2)</f>
        <v>0</v>
      </c>
    </row>
    <row r="3" spans="1:21" ht="15.75" thickBot="1" x14ac:dyDescent="0.3">
      <c r="A3" s="22" t="s">
        <v>4</v>
      </c>
      <c r="B3" s="34">
        <v>45567</v>
      </c>
      <c r="C3" s="26">
        <v>0</v>
      </c>
      <c r="D3" s="113">
        <f t="shared" ref="D3:D32" si="0">SUM(E40:T40,C3)</f>
        <v>17000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4">
        <v>2</v>
      </c>
      <c r="M3" s="24">
        <v>0</v>
      </c>
      <c r="N3" s="24">
        <v>0</v>
      </c>
      <c r="O3" s="24">
        <v>0</v>
      </c>
      <c r="P3" s="24">
        <v>0</v>
      </c>
      <c r="Q3" s="24">
        <v>4</v>
      </c>
      <c r="R3" s="24">
        <v>0</v>
      </c>
      <c r="S3" s="24">
        <v>0</v>
      </c>
      <c r="T3" s="25">
        <v>0</v>
      </c>
      <c r="U3" s="5">
        <f t="shared" ref="U3:U32" si="1">SUM(E3:T3)</f>
        <v>6</v>
      </c>
    </row>
    <row r="4" spans="1:21" ht="15.75" thickBot="1" x14ac:dyDescent="0.3">
      <c r="A4" s="22" t="s">
        <v>5</v>
      </c>
      <c r="B4" s="34">
        <v>45568</v>
      </c>
      <c r="C4" s="26">
        <v>600</v>
      </c>
      <c r="D4" s="113">
        <f t="shared" si="0"/>
        <v>6700</v>
      </c>
      <c r="E4" s="29">
        <v>0</v>
      </c>
      <c r="F4" s="29">
        <v>0</v>
      </c>
      <c r="G4" s="29">
        <v>0</v>
      </c>
      <c r="H4" s="29">
        <v>0</v>
      </c>
      <c r="I4" s="29">
        <v>0</v>
      </c>
      <c r="J4" s="29">
        <v>1</v>
      </c>
      <c r="K4" s="29">
        <v>0</v>
      </c>
      <c r="L4" s="29">
        <v>0</v>
      </c>
      <c r="M4" s="29">
        <v>0</v>
      </c>
      <c r="N4" s="29">
        <v>0</v>
      </c>
      <c r="O4" s="29">
        <v>1</v>
      </c>
      <c r="P4" s="29">
        <v>0</v>
      </c>
      <c r="Q4" s="29">
        <v>0</v>
      </c>
      <c r="R4" s="29">
        <v>0</v>
      </c>
      <c r="S4" s="29">
        <v>0</v>
      </c>
      <c r="T4" s="30">
        <v>0</v>
      </c>
      <c r="U4" s="5">
        <f t="shared" si="1"/>
        <v>2</v>
      </c>
    </row>
    <row r="5" spans="1:21" ht="15.75" thickBot="1" x14ac:dyDescent="0.3">
      <c r="A5" s="22" t="s">
        <v>6</v>
      </c>
      <c r="B5" s="34">
        <v>45569</v>
      </c>
      <c r="C5" s="26">
        <v>0</v>
      </c>
      <c r="D5" s="113">
        <f t="shared" si="0"/>
        <v>2500</v>
      </c>
      <c r="E5" s="24">
        <v>0</v>
      </c>
      <c r="F5" s="24">
        <v>0</v>
      </c>
      <c r="G5" s="24">
        <v>0</v>
      </c>
      <c r="H5" s="24">
        <v>1</v>
      </c>
      <c r="I5" s="24">
        <v>0</v>
      </c>
      <c r="J5" s="24">
        <v>0</v>
      </c>
      <c r="K5" s="24">
        <v>0</v>
      </c>
      <c r="L5" s="24">
        <v>0</v>
      </c>
      <c r="M5" s="24">
        <v>0</v>
      </c>
      <c r="N5" s="24">
        <v>0</v>
      </c>
      <c r="O5" s="24">
        <v>0</v>
      </c>
      <c r="P5" s="24">
        <v>0</v>
      </c>
      <c r="Q5" s="24">
        <v>0</v>
      </c>
      <c r="R5" s="24">
        <v>0</v>
      </c>
      <c r="S5" s="24">
        <v>0</v>
      </c>
      <c r="T5" s="25">
        <v>0</v>
      </c>
      <c r="U5" s="5">
        <f t="shared" si="1"/>
        <v>1</v>
      </c>
    </row>
    <row r="6" spans="1:21" ht="15.75" thickBot="1" x14ac:dyDescent="0.3">
      <c r="A6" s="22" t="s">
        <v>7</v>
      </c>
      <c r="B6" s="34">
        <v>45570</v>
      </c>
      <c r="C6" s="26">
        <v>100</v>
      </c>
      <c r="D6" s="113">
        <f t="shared" si="0"/>
        <v>6600</v>
      </c>
      <c r="E6" s="29">
        <v>1</v>
      </c>
      <c r="F6" s="29">
        <v>0</v>
      </c>
      <c r="G6" s="29">
        <v>0</v>
      </c>
      <c r="H6" s="29">
        <v>0</v>
      </c>
      <c r="I6" s="29">
        <v>0</v>
      </c>
      <c r="J6" s="29">
        <v>0</v>
      </c>
      <c r="K6" s="29">
        <v>0</v>
      </c>
      <c r="L6" s="29">
        <v>0</v>
      </c>
      <c r="M6" s="29">
        <v>0</v>
      </c>
      <c r="N6" s="29">
        <v>0</v>
      </c>
      <c r="O6" s="29">
        <v>0</v>
      </c>
      <c r="P6" s="29">
        <v>0</v>
      </c>
      <c r="Q6" s="29">
        <v>1</v>
      </c>
      <c r="R6" s="29">
        <v>0</v>
      </c>
      <c r="S6" s="29">
        <v>0</v>
      </c>
      <c r="T6" s="30">
        <v>0</v>
      </c>
      <c r="U6" s="5">
        <f t="shared" si="1"/>
        <v>2</v>
      </c>
    </row>
    <row r="7" spans="1:21" ht="15.75" thickBot="1" x14ac:dyDescent="0.3">
      <c r="A7" s="22" t="s">
        <v>8</v>
      </c>
      <c r="B7" s="34">
        <v>45571</v>
      </c>
      <c r="C7" s="26">
        <v>0</v>
      </c>
      <c r="D7" s="113">
        <f t="shared" si="0"/>
        <v>0</v>
      </c>
      <c r="E7" s="24">
        <v>0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4">
        <v>0</v>
      </c>
      <c r="M7" s="24">
        <v>0</v>
      </c>
      <c r="N7" s="24">
        <v>0</v>
      </c>
      <c r="O7" s="24">
        <v>0</v>
      </c>
      <c r="P7" s="24">
        <v>0</v>
      </c>
      <c r="Q7" s="24">
        <v>0</v>
      </c>
      <c r="R7" s="24">
        <v>0</v>
      </c>
      <c r="S7" s="24">
        <v>0</v>
      </c>
      <c r="T7" s="25">
        <v>0</v>
      </c>
      <c r="U7" s="5">
        <f t="shared" si="1"/>
        <v>0</v>
      </c>
    </row>
    <row r="8" spans="1:21" ht="15.75" thickBot="1" x14ac:dyDescent="0.3">
      <c r="A8" s="22" t="s">
        <v>2</v>
      </c>
      <c r="B8" s="34">
        <v>45572</v>
      </c>
      <c r="C8" s="26">
        <v>0</v>
      </c>
      <c r="D8" s="113">
        <f t="shared" si="0"/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29">
        <v>0</v>
      </c>
      <c r="N8" s="29">
        <v>0</v>
      </c>
      <c r="O8" s="29">
        <v>0</v>
      </c>
      <c r="P8" s="29">
        <v>0</v>
      </c>
      <c r="Q8" s="29">
        <v>0</v>
      </c>
      <c r="R8" s="29">
        <v>0</v>
      </c>
      <c r="S8" s="29">
        <v>0</v>
      </c>
      <c r="T8" s="30">
        <v>0</v>
      </c>
      <c r="U8" s="5">
        <f t="shared" si="1"/>
        <v>0</v>
      </c>
    </row>
    <row r="9" spans="1:21" ht="15.75" thickBot="1" x14ac:dyDescent="0.3">
      <c r="A9" s="22" t="s">
        <v>3</v>
      </c>
      <c r="B9" s="34">
        <v>45573</v>
      </c>
      <c r="C9" s="26">
        <v>0</v>
      </c>
      <c r="D9" s="113">
        <f t="shared" si="0"/>
        <v>2500</v>
      </c>
      <c r="E9" s="24">
        <v>0</v>
      </c>
      <c r="F9" s="24">
        <v>0</v>
      </c>
      <c r="G9" s="24">
        <v>0</v>
      </c>
      <c r="H9" s="24">
        <v>1</v>
      </c>
      <c r="I9" s="24">
        <v>0</v>
      </c>
      <c r="J9" s="24">
        <v>0</v>
      </c>
      <c r="K9" s="24">
        <v>0</v>
      </c>
      <c r="L9" s="24">
        <v>0</v>
      </c>
      <c r="M9" s="24">
        <v>0</v>
      </c>
      <c r="N9" s="24">
        <v>0</v>
      </c>
      <c r="O9" s="24">
        <v>0</v>
      </c>
      <c r="P9" s="24">
        <v>0</v>
      </c>
      <c r="Q9" s="24">
        <v>0</v>
      </c>
      <c r="R9" s="24">
        <v>0</v>
      </c>
      <c r="S9" s="24">
        <v>0</v>
      </c>
      <c r="T9" s="25">
        <v>0</v>
      </c>
      <c r="U9" s="5">
        <f t="shared" si="1"/>
        <v>1</v>
      </c>
    </row>
    <row r="10" spans="1:21" ht="15.75" thickBot="1" x14ac:dyDescent="0.3">
      <c r="A10" s="22" t="s">
        <v>4</v>
      </c>
      <c r="B10" s="34">
        <v>45574</v>
      </c>
      <c r="C10" s="26">
        <v>100</v>
      </c>
      <c r="D10" s="113">
        <f t="shared" si="0"/>
        <v>100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30">
        <v>0</v>
      </c>
      <c r="U10" s="5">
        <f t="shared" si="1"/>
        <v>0</v>
      </c>
    </row>
    <row r="11" spans="1:21" ht="15.75" thickBot="1" x14ac:dyDescent="0.3">
      <c r="A11" s="22" t="s">
        <v>5</v>
      </c>
      <c r="B11" s="34">
        <v>45575</v>
      </c>
      <c r="C11" s="26">
        <v>0</v>
      </c>
      <c r="D11" s="113">
        <f t="shared" si="0"/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5">
        <v>0</v>
      </c>
      <c r="U11" s="5">
        <f t="shared" si="1"/>
        <v>0</v>
      </c>
    </row>
    <row r="12" spans="1:21" ht="15.75" thickBot="1" x14ac:dyDescent="0.3">
      <c r="A12" s="22" t="s">
        <v>6</v>
      </c>
      <c r="B12" s="34">
        <v>45576</v>
      </c>
      <c r="C12" s="26">
        <v>0</v>
      </c>
      <c r="D12" s="113">
        <f t="shared" si="0"/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30">
        <v>0</v>
      </c>
      <c r="U12" s="5">
        <f t="shared" si="1"/>
        <v>0</v>
      </c>
    </row>
    <row r="13" spans="1:21" ht="15.75" thickBot="1" x14ac:dyDescent="0.3">
      <c r="A13" s="22" t="s">
        <v>7</v>
      </c>
      <c r="B13" s="34">
        <v>45577</v>
      </c>
      <c r="C13" s="26">
        <v>0</v>
      </c>
      <c r="D13" s="113">
        <f t="shared" si="0"/>
        <v>0</v>
      </c>
      <c r="E13" s="24">
        <v>0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4">
        <v>0</v>
      </c>
      <c r="M13" s="24">
        <v>0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4">
        <v>0</v>
      </c>
      <c r="T13" s="25">
        <v>0</v>
      </c>
      <c r="U13" s="5">
        <f t="shared" si="1"/>
        <v>0</v>
      </c>
    </row>
    <row r="14" spans="1:21" ht="15.75" thickBot="1" x14ac:dyDescent="0.3">
      <c r="A14" s="22" t="s">
        <v>8</v>
      </c>
      <c r="B14" s="34">
        <v>45578</v>
      </c>
      <c r="C14" s="26">
        <v>0</v>
      </c>
      <c r="D14" s="113">
        <f t="shared" si="0"/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30">
        <v>0</v>
      </c>
      <c r="U14" s="5">
        <f t="shared" si="1"/>
        <v>0</v>
      </c>
    </row>
    <row r="15" spans="1:21" ht="15.75" thickBot="1" x14ac:dyDescent="0.3">
      <c r="A15" s="22" t="s">
        <v>2</v>
      </c>
      <c r="B15" s="34">
        <v>45579</v>
      </c>
      <c r="C15" s="26">
        <v>0</v>
      </c>
      <c r="D15" s="113">
        <f t="shared" si="0"/>
        <v>0</v>
      </c>
      <c r="E15" s="24">
        <v>0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5">
        <v>0</v>
      </c>
      <c r="U15" s="5">
        <f t="shared" si="1"/>
        <v>0</v>
      </c>
    </row>
    <row r="16" spans="1:21" ht="15.75" thickBot="1" x14ac:dyDescent="0.3">
      <c r="A16" s="22" t="s">
        <v>3</v>
      </c>
      <c r="B16" s="34">
        <v>45580</v>
      </c>
      <c r="C16" s="26">
        <v>0</v>
      </c>
      <c r="D16" s="113">
        <f t="shared" si="0"/>
        <v>0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30">
        <v>0</v>
      </c>
      <c r="U16" s="5">
        <f t="shared" si="1"/>
        <v>0</v>
      </c>
    </row>
    <row r="17" spans="1:22" ht="15.75" thickBot="1" x14ac:dyDescent="0.3">
      <c r="A17" s="22" t="s">
        <v>4</v>
      </c>
      <c r="B17" s="34">
        <v>45581</v>
      </c>
      <c r="C17" s="26">
        <v>0</v>
      </c>
      <c r="D17" s="113">
        <f t="shared" si="0"/>
        <v>0</v>
      </c>
      <c r="E17" s="24">
        <v>0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4">
        <v>0</v>
      </c>
      <c r="M17" s="24">
        <v>0</v>
      </c>
      <c r="N17" s="24">
        <v>0</v>
      </c>
      <c r="O17" s="24">
        <v>0</v>
      </c>
      <c r="P17" s="24">
        <v>0</v>
      </c>
      <c r="Q17" s="24">
        <v>0</v>
      </c>
      <c r="R17" s="24">
        <v>0</v>
      </c>
      <c r="S17" s="24">
        <v>0</v>
      </c>
      <c r="T17" s="25">
        <v>0</v>
      </c>
      <c r="U17" s="5">
        <f t="shared" si="1"/>
        <v>0</v>
      </c>
      <c r="V17" t="s">
        <v>78</v>
      </c>
    </row>
    <row r="18" spans="1:22" ht="15.75" thickBot="1" x14ac:dyDescent="0.3">
      <c r="A18" s="22" t="s">
        <v>5</v>
      </c>
      <c r="B18" s="34">
        <v>45582</v>
      </c>
      <c r="C18" s="26">
        <v>0</v>
      </c>
      <c r="D18" s="113">
        <f t="shared" si="0"/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29">
        <v>0</v>
      </c>
      <c r="P18" s="29">
        <v>0</v>
      </c>
      <c r="Q18" s="29">
        <v>0</v>
      </c>
      <c r="R18" s="29">
        <v>0</v>
      </c>
      <c r="S18" s="29">
        <v>0</v>
      </c>
      <c r="T18" s="30">
        <v>0</v>
      </c>
      <c r="U18" s="5">
        <f t="shared" si="1"/>
        <v>0</v>
      </c>
    </row>
    <row r="19" spans="1:22" ht="15.75" thickBot="1" x14ac:dyDescent="0.3">
      <c r="A19" s="22" t="s">
        <v>6</v>
      </c>
      <c r="B19" s="34">
        <v>45583</v>
      </c>
      <c r="C19" s="26">
        <v>0</v>
      </c>
      <c r="D19" s="113">
        <f t="shared" si="0"/>
        <v>0</v>
      </c>
      <c r="E19" s="24">
        <v>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  <c r="O19" s="24">
        <v>0</v>
      </c>
      <c r="P19" s="24">
        <v>0</v>
      </c>
      <c r="Q19" s="24">
        <v>0</v>
      </c>
      <c r="R19" s="24">
        <v>0</v>
      </c>
      <c r="S19" s="24">
        <v>0</v>
      </c>
      <c r="T19" s="25">
        <v>0</v>
      </c>
      <c r="U19" s="5">
        <f t="shared" si="1"/>
        <v>0</v>
      </c>
    </row>
    <row r="20" spans="1:22" ht="15.75" thickBot="1" x14ac:dyDescent="0.3">
      <c r="A20" s="22" t="s">
        <v>7</v>
      </c>
      <c r="B20" s="34">
        <v>45584</v>
      </c>
      <c r="C20" s="26">
        <v>0</v>
      </c>
      <c r="D20" s="113">
        <f t="shared" si="0"/>
        <v>0</v>
      </c>
      <c r="E20" s="29">
        <v>0</v>
      </c>
      <c r="F20" s="29">
        <v>0</v>
      </c>
      <c r="G20" s="29">
        <v>0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  <c r="O20" s="29">
        <v>0</v>
      </c>
      <c r="P20" s="29">
        <v>0</v>
      </c>
      <c r="Q20" s="29">
        <v>0</v>
      </c>
      <c r="R20" s="29">
        <v>0</v>
      </c>
      <c r="S20" s="29">
        <v>0</v>
      </c>
      <c r="T20" s="30">
        <v>0</v>
      </c>
      <c r="U20" s="5">
        <f t="shared" si="1"/>
        <v>0</v>
      </c>
    </row>
    <row r="21" spans="1:22" ht="15.75" thickBot="1" x14ac:dyDescent="0.3">
      <c r="A21" s="22" t="s">
        <v>8</v>
      </c>
      <c r="B21" s="34">
        <v>45585</v>
      </c>
      <c r="C21" s="26">
        <v>0</v>
      </c>
      <c r="D21" s="113">
        <f t="shared" si="0"/>
        <v>0</v>
      </c>
      <c r="E21" s="24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5">
        <v>0</v>
      </c>
      <c r="U21" s="5">
        <f t="shared" si="1"/>
        <v>0</v>
      </c>
    </row>
    <row r="22" spans="1:22" ht="15.75" thickBot="1" x14ac:dyDescent="0.3">
      <c r="A22" s="22" t="s">
        <v>2</v>
      </c>
      <c r="B22" s="34">
        <v>45586</v>
      </c>
      <c r="C22" s="26">
        <v>0</v>
      </c>
      <c r="D22" s="113">
        <f t="shared" si="0"/>
        <v>0</v>
      </c>
      <c r="E22" s="29">
        <v>0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30">
        <v>0</v>
      </c>
      <c r="U22" s="5">
        <f t="shared" si="1"/>
        <v>0</v>
      </c>
    </row>
    <row r="23" spans="1:22" ht="15.75" thickBot="1" x14ac:dyDescent="0.3">
      <c r="A23" s="22" t="s">
        <v>3</v>
      </c>
      <c r="B23" s="34">
        <v>45587</v>
      </c>
      <c r="C23" s="26">
        <v>0</v>
      </c>
      <c r="D23" s="113">
        <f t="shared" si="0"/>
        <v>0</v>
      </c>
      <c r="E23" s="24">
        <v>0</v>
      </c>
      <c r="F23" s="24">
        <v>0</v>
      </c>
      <c r="G23" s="24">
        <v>0</v>
      </c>
      <c r="H23" s="24">
        <v>0</v>
      </c>
      <c r="I23" s="24">
        <v>0</v>
      </c>
      <c r="J23" s="24">
        <v>0</v>
      </c>
      <c r="K23" s="24">
        <v>0</v>
      </c>
      <c r="L23" s="24">
        <v>0</v>
      </c>
      <c r="M23" s="24">
        <v>0</v>
      </c>
      <c r="N23" s="24">
        <v>0</v>
      </c>
      <c r="O23" s="24">
        <v>0</v>
      </c>
      <c r="P23" s="24">
        <v>0</v>
      </c>
      <c r="Q23" s="24">
        <v>0</v>
      </c>
      <c r="R23" s="24">
        <v>0</v>
      </c>
      <c r="S23" s="24">
        <v>0</v>
      </c>
      <c r="T23" s="25">
        <v>0</v>
      </c>
      <c r="U23" s="5">
        <f t="shared" si="1"/>
        <v>0</v>
      </c>
    </row>
    <row r="24" spans="1:22" ht="15.75" thickBot="1" x14ac:dyDescent="0.3">
      <c r="A24" s="22" t="s">
        <v>4</v>
      </c>
      <c r="B24" s="34">
        <v>45588</v>
      </c>
      <c r="C24" s="26">
        <v>0</v>
      </c>
      <c r="D24" s="113">
        <f t="shared" si="0"/>
        <v>0</v>
      </c>
      <c r="E24" s="29">
        <v>0</v>
      </c>
      <c r="F24" s="29">
        <v>0</v>
      </c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30">
        <v>0</v>
      </c>
      <c r="U24" s="5">
        <f t="shared" si="1"/>
        <v>0</v>
      </c>
    </row>
    <row r="25" spans="1:22" ht="15.75" thickBot="1" x14ac:dyDescent="0.3">
      <c r="A25" s="22" t="s">
        <v>5</v>
      </c>
      <c r="B25" s="34">
        <v>45589</v>
      </c>
      <c r="C25" s="26">
        <v>0</v>
      </c>
      <c r="D25" s="113">
        <f t="shared" si="0"/>
        <v>0</v>
      </c>
      <c r="E25" s="24">
        <v>0</v>
      </c>
      <c r="F25" s="24">
        <v>0</v>
      </c>
      <c r="G25" s="24">
        <v>0</v>
      </c>
      <c r="H25" s="24">
        <v>0</v>
      </c>
      <c r="I25" s="24">
        <v>0</v>
      </c>
      <c r="J25" s="24">
        <v>0</v>
      </c>
      <c r="K25" s="24">
        <v>0</v>
      </c>
      <c r="L25" s="24">
        <v>0</v>
      </c>
      <c r="M25" s="24">
        <v>0</v>
      </c>
      <c r="N25" s="24">
        <v>0</v>
      </c>
      <c r="O25" s="24">
        <v>0</v>
      </c>
      <c r="P25" s="24">
        <v>0</v>
      </c>
      <c r="Q25" s="24">
        <v>0</v>
      </c>
      <c r="R25" s="24">
        <v>0</v>
      </c>
      <c r="S25" s="24">
        <v>0</v>
      </c>
      <c r="T25" s="25">
        <v>0</v>
      </c>
      <c r="U25" s="5">
        <f t="shared" si="1"/>
        <v>0</v>
      </c>
    </row>
    <row r="26" spans="1:22" ht="15.75" thickBot="1" x14ac:dyDescent="0.3">
      <c r="A26" s="22" t="s">
        <v>6</v>
      </c>
      <c r="B26" s="34">
        <v>45590</v>
      </c>
      <c r="C26" s="26">
        <v>0</v>
      </c>
      <c r="D26" s="113">
        <f t="shared" si="0"/>
        <v>0</v>
      </c>
      <c r="E26" s="29"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  <c r="R26" s="29">
        <v>0</v>
      </c>
      <c r="S26" s="29">
        <v>0</v>
      </c>
      <c r="T26" s="30">
        <v>0</v>
      </c>
      <c r="U26" s="5">
        <f t="shared" si="1"/>
        <v>0</v>
      </c>
    </row>
    <row r="27" spans="1:22" ht="15.75" thickBot="1" x14ac:dyDescent="0.3">
      <c r="A27" s="22" t="s">
        <v>7</v>
      </c>
      <c r="B27" s="34">
        <v>45591</v>
      </c>
      <c r="C27" s="26">
        <v>0</v>
      </c>
      <c r="D27" s="113">
        <f t="shared" si="0"/>
        <v>0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  <c r="P27" s="24">
        <v>0</v>
      </c>
      <c r="Q27" s="24">
        <v>0</v>
      </c>
      <c r="R27" s="24">
        <v>0</v>
      </c>
      <c r="S27" s="24">
        <v>0</v>
      </c>
      <c r="T27" s="25">
        <v>0</v>
      </c>
      <c r="U27" s="5">
        <f t="shared" si="1"/>
        <v>0</v>
      </c>
    </row>
    <row r="28" spans="1:22" ht="15.75" thickBot="1" x14ac:dyDescent="0.3">
      <c r="A28" s="22" t="s">
        <v>8</v>
      </c>
      <c r="B28" s="34">
        <v>45592</v>
      </c>
      <c r="C28" s="26">
        <v>0</v>
      </c>
      <c r="D28" s="113">
        <f t="shared" si="0"/>
        <v>0</v>
      </c>
      <c r="E28" s="29">
        <v>0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0</v>
      </c>
      <c r="R28" s="29">
        <v>0</v>
      </c>
      <c r="S28" s="29">
        <v>0</v>
      </c>
      <c r="T28" s="30">
        <v>0</v>
      </c>
      <c r="U28" s="5">
        <f t="shared" si="1"/>
        <v>0</v>
      </c>
    </row>
    <row r="29" spans="1:22" ht="15.75" thickBot="1" x14ac:dyDescent="0.3">
      <c r="A29" s="22" t="s">
        <v>2</v>
      </c>
      <c r="B29" s="34">
        <v>45593</v>
      </c>
      <c r="C29" s="26">
        <v>0</v>
      </c>
      <c r="D29" s="113">
        <f t="shared" si="0"/>
        <v>0</v>
      </c>
      <c r="E29" s="24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5">
        <v>0</v>
      </c>
      <c r="U29" s="5">
        <f t="shared" si="1"/>
        <v>0</v>
      </c>
    </row>
    <row r="30" spans="1:22" ht="15.75" thickBot="1" x14ac:dyDescent="0.3">
      <c r="A30" s="22" t="s">
        <v>3</v>
      </c>
      <c r="B30" s="34">
        <v>45594</v>
      </c>
      <c r="C30" s="26">
        <v>0</v>
      </c>
      <c r="D30" s="113">
        <f t="shared" si="0"/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30">
        <v>0</v>
      </c>
      <c r="U30" s="5">
        <f t="shared" si="1"/>
        <v>0</v>
      </c>
    </row>
    <row r="31" spans="1:22" ht="15.75" thickBot="1" x14ac:dyDescent="0.3">
      <c r="A31" s="22" t="s">
        <v>4</v>
      </c>
      <c r="B31" s="34">
        <v>45595</v>
      </c>
      <c r="C31" s="26">
        <v>0</v>
      </c>
      <c r="D31" s="113">
        <f t="shared" si="0"/>
        <v>0</v>
      </c>
      <c r="E31" s="24">
        <v>0</v>
      </c>
      <c r="F31" s="24">
        <v>0</v>
      </c>
      <c r="G31" s="24">
        <v>0</v>
      </c>
      <c r="H31" s="24">
        <v>0</v>
      </c>
      <c r="I31" s="24">
        <v>0</v>
      </c>
      <c r="J31" s="24">
        <v>0</v>
      </c>
      <c r="K31" s="24">
        <v>0</v>
      </c>
      <c r="L31" s="24">
        <v>0</v>
      </c>
      <c r="M31" s="24">
        <v>0</v>
      </c>
      <c r="N31" s="24">
        <v>0</v>
      </c>
      <c r="O31" s="24">
        <v>0</v>
      </c>
      <c r="P31" s="24">
        <v>0</v>
      </c>
      <c r="Q31" s="24">
        <v>0</v>
      </c>
      <c r="R31" s="24">
        <v>0</v>
      </c>
      <c r="S31" s="24">
        <v>0</v>
      </c>
      <c r="T31" s="25">
        <v>0</v>
      </c>
      <c r="U31" s="5">
        <f t="shared" si="1"/>
        <v>0</v>
      </c>
    </row>
    <row r="32" spans="1:22" x14ac:dyDescent="0.25">
      <c r="A32" s="22" t="s">
        <v>5</v>
      </c>
      <c r="B32" s="34">
        <v>45596</v>
      </c>
      <c r="C32" s="26">
        <v>0</v>
      </c>
      <c r="D32" s="113">
        <f t="shared" si="0"/>
        <v>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30">
        <v>0</v>
      </c>
      <c r="U32" s="5">
        <f t="shared" si="1"/>
        <v>0</v>
      </c>
    </row>
    <row r="33" spans="1:23" ht="15.75" thickBot="1" x14ac:dyDescent="0.3">
      <c r="B33" s="31" t="s">
        <v>26</v>
      </c>
      <c r="C33" s="32">
        <f>SUM(C2:C32)</f>
        <v>800</v>
      </c>
      <c r="D33" s="33">
        <f>SUM(D2:D32)</f>
        <v>35400</v>
      </c>
      <c r="E33" s="87">
        <f>SUM(E2:E32)</f>
        <v>1</v>
      </c>
      <c r="F33" s="87">
        <f t="shared" ref="F33:U33" si="2">SUM(F2:F32)</f>
        <v>0</v>
      </c>
      <c r="G33" s="87">
        <f t="shared" si="2"/>
        <v>0</v>
      </c>
      <c r="H33" s="87">
        <f t="shared" si="2"/>
        <v>2</v>
      </c>
      <c r="I33" s="87">
        <f t="shared" si="2"/>
        <v>0</v>
      </c>
      <c r="J33" s="87">
        <f t="shared" si="2"/>
        <v>1</v>
      </c>
      <c r="K33" s="87">
        <f t="shared" si="2"/>
        <v>0</v>
      </c>
      <c r="L33" s="87">
        <f t="shared" si="2"/>
        <v>2</v>
      </c>
      <c r="M33" s="87">
        <f t="shared" si="2"/>
        <v>0</v>
      </c>
      <c r="N33" s="87">
        <f t="shared" si="2"/>
        <v>0</v>
      </c>
      <c r="O33" s="87">
        <f t="shared" si="2"/>
        <v>1</v>
      </c>
      <c r="P33" s="87">
        <f t="shared" si="2"/>
        <v>0</v>
      </c>
      <c r="Q33" s="87">
        <f t="shared" si="2"/>
        <v>5</v>
      </c>
      <c r="R33" s="87">
        <f t="shared" si="2"/>
        <v>0</v>
      </c>
      <c r="S33" s="87">
        <f t="shared" si="2"/>
        <v>0</v>
      </c>
      <c r="T33" s="87">
        <f t="shared" si="2"/>
        <v>0</v>
      </c>
      <c r="U33" s="95">
        <f t="shared" si="2"/>
        <v>12</v>
      </c>
    </row>
    <row r="34" spans="1:23" x14ac:dyDescent="0.25">
      <c r="D34" s="6" t="s">
        <v>79</v>
      </c>
      <c r="E34">
        <f>SUM(E33,-E144)</f>
        <v>0</v>
      </c>
      <c r="F34">
        <f t="shared" ref="F34:U34" si="3">SUM(F33,-F144)</f>
        <v>0</v>
      </c>
      <c r="G34">
        <f t="shared" si="3"/>
        <v>0</v>
      </c>
      <c r="H34">
        <f t="shared" si="3"/>
        <v>1</v>
      </c>
      <c r="I34">
        <f t="shared" si="3"/>
        <v>0</v>
      </c>
      <c r="J34">
        <f t="shared" si="3"/>
        <v>0</v>
      </c>
      <c r="K34">
        <f t="shared" si="3"/>
        <v>0</v>
      </c>
      <c r="L34">
        <f t="shared" si="3"/>
        <v>2</v>
      </c>
      <c r="M34">
        <f t="shared" si="3"/>
        <v>0</v>
      </c>
      <c r="N34">
        <f t="shared" si="3"/>
        <v>0</v>
      </c>
      <c r="O34">
        <f t="shared" si="3"/>
        <v>0</v>
      </c>
      <c r="P34">
        <f t="shared" si="3"/>
        <v>0</v>
      </c>
      <c r="Q34">
        <f t="shared" si="3"/>
        <v>4</v>
      </c>
      <c r="R34">
        <f t="shared" si="3"/>
        <v>-1</v>
      </c>
      <c r="S34">
        <f t="shared" si="3"/>
        <v>0</v>
      </c>
      <c r="T34">
        <f t="shared" si="3"/>
        <v>0</v>
      </c>
      <c r="U34">
        <f t="shared" si="3"/>
        <v>6</v>
      </c>
    </row>
    <row r="35" spans="1:23" x14ac:dyDescent="0.25">
      <c r="D35" s="6"/>
      <c r="W35" t="s">
        <v>34</v>
      </c>
    </row>
    <row r="36" spans="1:23" x14ac:dyDescent="0.25">
      <c r="D36" s="6"/>
    </row>
    <row r="37" spans="1:23" x14ac:dyDescent="0.25">
      <c r="A37" s="97" t="s">
        <v>28</v>
      </c>
      <c r="B37" s="97"/>
      <c r="C37" s="97"/>
      <c r="D37" s="97"/>
      <c r="E37" s="4" t="str">
        <f t="shared" ref="E37:T37" si="4">E1</f>
        <v>AIR</v>
      </c>
      <c r="F37" s="4" t="str">
        <f t="shared" si="4"/>
        <v>BATMAN</v>
      </c>
      <c r="G37" s="4" t="str">
        <f t="shared" si="4"/>
        <v>PURPLE</v>
      </c>
      <c r="H37" s="4" t="str">
        <f t="shared" si="4"/>
        <v>SAMBA W</v>
      </c>
      <c r="I37" s="4" t="str">
        <f t="shared" si="4"/>
        <v>SAMBA B</v>
      </c>
      <c r="J37" s="4" t="str">
        <f t="shared" si="4"/>
        <v>J1 BLACK</v>
      </c>
      <c r="K37" s="4" t="str">
        <f t="shared" si="4"/>
        <v>J1 BLUE</v>
      </c>
      <c r="L37" s="4" t="str">
        <f t="shared" si="4"/>
        <v>OR SAMBA</v>
      </c>
      <c r="M37" s="4" t="str">
        <f t="shared" si="4"/>
        <v>AIRMAX 90</v>
      </c>
      <c r="N37" s="4" t="str">
        <f t="shared" si="4"/>
        <v>DIOR BLACK</v>
      </c>
      <c r="O37" s="4" t="str">
        <f t="shared" si="4"/>
        <v>DIOR GREY</v>
      </c>
      <c r="P37" s="4" t="str">
        <f t="shared" si="4"/>
        <v>SAMBA BIGSOLE</v>
      </c>
      <c r="Q37" s="4" t="str">
        <f t="shared" si="4"/>
        <v>NB</v>
      </c>
      <c r="R37" s="4" t="str">
        <f t="shared" si="4"/>
        <v>NB SPORT</v>
      </c>
      <c r="S37" s="4" t="str">
        <f t="shared" si="4"/>
        <v>STAN B</v>
      </c>
      <c r="T37" s="4" t="str">
        <f t="shared" si="4"/>
        <v>STAN W</v>
      </c>
    </row>
    <row r="38" spans="1:23" x14ac:dyDescent="0.25">
      <c r="A38" t="s">
        <v>0</v>
      </c>
      <c r="B38" t="s">
        <v>1</v>
      </c>
      <c r="D38" s="5" t="s">
        <v>25</v>
      </c>
      <c r="E38" s="3">
        <v>3500</v>
      </c>
      <c r="F38" s="5">
        <v>2900</v>
      </c>
      <c r="G38" s="5">
        <v>3000</v>
      </c>
      <c r="H38" s="5">
        <v>2500</v>
      </c>
      <c r="I38" s="5">
        <v>2500</v>
      </c>
      <c r="J38" s="5">
        <v>2800</v>
      </c>
      <c r="K38" s="5">
        <v>2800</v>
      </c>
      <c r="L38" s="5">
        <v>2500</v>
      </c>
      <c r="M38" s="5">
        <v>2800</v>
      </c>
      <c r="N38" s="5">
        <v>3300</v>
      </c>
      <c r="O38" s="5">
        <v>3300</v>
      </c>
      <c r="P38" s="5">
        <v>2700</v>
      </c>
      <c r="Q38" s="5">
        <v>3000</v>
      </c>
      <c r="R38" s="5">
        <v>3000</v>
      </c>
      <c r="S38" s="5">
        <v>2000</v>
      </c>
      <c r="T38" s="5">
        <v>2000</v>
      </c>
    </row>
    <row r="39" spans="1:23" x14ac:dyDescent="0.25">
      <c r="A39" t="s">
        <v>3</v>
      </c>
      <c r="B39" s="1">
        <v>45566</v>
      </c>
      <c r="C39" s="1"/>
      <c r="D39" s="7">
        <f>SUM(E39:T39)</f>
        <v>0</v>
      </c>
      <c r="E39" s="2">
        <f>PRODUCT(3500,E2)</f>
        <v>0</v>
      </c>
      <c r="F39">
        <f>PRODUCT(2900,F2)</f>
        <v>0</v>
      </c>
      <c r="G39">
        <f>PRODUCT(3000,G2)</f>
        <v>0</v>
      </c>
      <c r="H39">
        <f>PRODUCT(2500,H2)</f>
        <v>0</v>
      </c>
      <c r="I39">
        <f>PRODUCT(2500,I2)</f>
        <v>0</v>
      </c>
      <c r="J39">
        <f>PRODUCT(2800,J2)</f>
        <v>0</v>
      </c>
      <c r="K39">
        <f>PRODUCT(2800,K2)</f>
        <v>0</v>
      </c>
      <c r="L39">
        <f>PRODUCT(2500,L2)</f>
        <v>0</v>
      </c>
      <c r="M39">
        <f t="shared" ref="M39:M69" si="5">PRODUCT(2800,M2)</f>
        <v>0</v>
      </c>
      <c r="N39">
        <f>PRODUCT(3300,N2)</f>
        <v>0</v>
      </c>
      <c r="O39">
        <f>PRODUCT(3300,O2)</f>
        <v>0</v>
      </c>
      <c r="P39">
        <f>PRODUCT(2700,P2)</f>
        <v>0</v>
      </c>
      <c r="Q39">
        <f>PRODUCT(3000,Q2)</f>
        <v>0</v>
      </c>
      <c r="R39">
        <f>PRODUCT(3000,R2)</f>
        <v>0</v>
      </c>
      <c r="S39">
        <f>PRODUCT(2000,S2)</f>
        <v>0</v>
      </c>
      <c r="T39">
        <f>PRODUCT(2000,T2)</f>
        <v>0</v>
      </c>
    </row>
    <row r="40" spans="1:23" x14ac:dyDescent="0.25">
      <c r="A40" t="s">
        <v>4</v>
      </c>
      <c r="B40" s="1">
        <v>45567</v>
      </c>
      <c r="C40" s="1"/>
      <c r="D40" s="7">
        <f t="shared" ref="D40:D69" si="6">SUM(E40:T40)</f>
        <v>17000</v>
      </c>
      <c r="E40" s="2">
        <f t="shared" ref="E40:E69" si="7">PRODUCT(3500,E3)</f>
        <v>0</v>
      </c>
      <c r="F40">
        <f t="shared" ref="F40:F69" si="8">PRODUCT(2900,F3)</f>
        <v>0</v>
      </c>
      <c r="G40">
        <f t="shared" ref="G40:G69" si="9">PRODUCT(3000,G3)</f>
        <v>0</v>
      </c>
      <c r="H40">
        <f t="shared" ref="H40:I69" si="10">PRODUCT(2500,H3)</f>
        <v>0</v>
      </c>
      <c r="I40">
        <f t="shared" si="10"/>
        <v>0</v>
      </c>
      <c r="J40">
        <f t="shared" ref="J40:K69" si="11">PRODUCT(2800,J3)</f>
        <v>0</v>
      </c>
      <c r="K40">
        <f t="shared" si="11"/>
        <v>0</v>
      </c>
      <c r="L40">
        <f t="shared" ref="L40:L69" si="12">PRODUCT(2500,L3)</f>
        <v>5000</v>
      </c>
      <c r="M40">
        <f t="shared" si="5"/>
        <v>0</v>
      </c>
      <c r="N40">
        <f t="shared" ref="N40:N69" si="13">PRODUCT(3300,N3)</f>
        <v>0</v>
      </c>
      <c r="O40">
        <f t="shared" ref="O40:O69" si="14">PRODUCT(3300,O3)</f>
        <v>0</v>
      </c>
      <c r="P40">
        <f t="shared" ref="P40:P69" si="15">PRODUCT(2700,P3)</f>
        <v>0</v>
      </c>
      <c r="Q40">
        <f t="shared" ref="Q40:R69" si="16">PRODUCT(3000,Q3)</f>
        <v>12000</v>
      </c>
      <c r="R40">
        <f t="shared" si="16"/>
        <v>0</v>
      </c>
      <c r="S40">
        <f t="shared" ref="S40:T69" si="17">PRODUCT(2000,S3)</f>
        <v>0</v>
      </c>
      <c r="T40">
        <f t="shared" si="17"/>
        <v>0</v>
      </c>
    </row>
    <row r="41" spans="1:23" x14ac:dyDescent="0.25">
      <c r="A41" t="s">
        <v>5</v>
      </c>
      <c r="B41" s="1">
        <v>45568</v>
      </c>
      <c r="C41" s="1"/>
      <c r="D41" s="7">
        <f t="shared" si="6"/>
        <v>6100</v>
      </c>
      <c r="E41" s="2">
        <f t="shared" si="7"/>
        <v>0</v>
      </c>
      <c r="F41">
        <f t="shared" si="8"/>
        <v>0</v>
      </c>
      <c r="G41">
        <f t="shared" si="9"/>
        <v>0</v>
      </c>
      <c r="H41">
        <f t="shared" si="10"/>
        <v>0</v>
      </c>
      <c r="I41">
        <f t="shared" si="10"/>
        <v>0</v>
      </c>
      <c r="J41">
        <f t="shared" si="11"/>
        <v>2800</v>
      </c>
      <c r="K41">
        <f t="shared" si="11"/>
        <v>0</v>
      </c>
      <c r="L41">
        <f t="shared" si="12"/>
        <v>0</v>
      </c>
      <c r="M41">
        <f t="shared" si="5"/>
        <v>0</v>
      </c>
      <c r="N41">
        <f t="shared" si="13"/>
        <v>0</v>
      </c>
      <c r="O41">
        <f t="shared" si="14"/>
        <v>3300</v>
      </c>
      <c r="P41">
        <f t="shared" si="15"/>
        <v>0</v>
      </c>
      <c r="Q41">
        <f t="shared" si="16"/>
        <v>0</v>
      </c>
      <c r="R41">
        <f t="shared" si="16"/>
        <v>0</v>
      </c>
      <c r="S41">
        <f t="shared" si="17"/>
        <v>0</v>
      </c>
      <c r="T41">
        <f t="shared" si="17"/>
        <v>0</v>
      </c>
    </row>
    <row r="42" spans="1:23" x14ac:dyDescent="0.25">
      <c r="A42" t="s">
        <v>6</v>
      </c>
      <c r="B42" s="1">
        <v>45569</v>
      </c>
      <c r="C42" s="1"/>
      <c r="D42" s="7">
        <f t="shared" si="6"/>
        <v>2500</v>
      </c>
      <c r="E42" s="2">
        <f t="shared" si="7"/>
        <v>0</v>
      </c>
      <c r="F42">
        <f t="shared" si="8"/>
        <v>0</v>
      </c>
      <c r="G42">
        <f t="shared" si="9"/>
        <v>0</v>
      </c>
      <c r="H42">
        <f t="shared" si="10"/>
        <v>2500</v>
      </c>
      <c r="I42">
        <f t="shared" si="10"/>
        <v>0</v>
      </c>
      <c r="J42">
        <f t="shared" si="11"/>
        <v>0</v>
      </c>
      <c r="K42">
        <f t="shared" si="11"/>
        <v>0</v>
      </c>
      <c r="L42">
        <f t="shared" si="12"/>
        <v>0</v>
      </c>
      <c r="M42">
        <f t="shared" si="5"/>
        <v>0</v>
      </c>
      <c r="N42">
        <f t="shared" si="13"/>
        <v>0</v>
      </c>
      <c r="O42">
        <f t="shared" si="14"/>
        <v>0</v>
      </c>
      <c r="P42">
        <f t="shared" si="15"/>
        <v>0</v>
      </c>
      <c r="Q42">
        <f t="shared" si="16"/>
        <v>0</v>
      </c>
      <c r="R42">
        <f t="shared" si="16"/>
        <v>0</v>
      </c>
      <c r="S42">
        <f t="shared" si="17"/>
        <v>0</v>
      </c>
      <c r="T42">
        <f t="shared" si="17"/>
        <v>0</v>
      </c>
    </row>
    <row r="43" spans="1:23" x14ac:dyDescent="0.25">
      <c r="A43" t="s">
        <v>7</v>
      </c>
      <c r="B43" s="1">
        <v>45570</v>
      </c>
      <c r="C43" s="1"/>
      <c r="D43" s="7">
        <f t="shared" si="6"/>
        <v>6500</v>
      </c>
      <c r="E43" s="2">
        <f t="shared" si="7"/>
        <v>3500</v>
      </c>
      <c r="F43">
        <f t="shared" si="8"/>
        <v>0</v>
      </c>
      <c r="G43">
        <f t="shared" si="9"/>
        <v>0</v>
      </c>
      <c r="H43">
        <f t="shared" si="10"/>
        <v>0</v>
      </c>
      <c r="I43">
        <f t="shared" si="10"/>
        <v>0</v>
      </c>
      <c r="J43">
        <f t="shared" si="11"/>
        <v>0</v>
      </c>
      <c r="K43">
        <f t="shared" si="11"/>
        <v>0</v>
      </c>
      <c r="L43">
        <f t="shared" si="12"/>
        <v>0</v>
      </c>
      <c r="M43">
        <f t="shared" si="5"/>
        <v>0</v>
      </c>
      <c r="N43">
        <f t="shared" si="13"/>
        <v>0</v>
      </c>
      <c r="O43">
        <f t="shared" si="14"/>
        <v>0</v>
      </c>
      <c r="P43">
        <f t="shared" si="15"/>
        <v>0</v>
      </c>
      <c r="Q43">
        <f t="shared" si="16"/>
        <v>3000</v>
      </c>
      <c r="R43">
        <f t="shared" si="16"/>
        <v>0</v>
      </c>
      <c r="S43">
        <f t="shared" si="17"/>
        <v>0</v>
      </c>
      <c r="T43">
        <f t="shared" si="17"/>
        <v>0</v>
      </c>
    </row>
    <row r="44" spans="1:23" x14ac:dyDescent="0.25">
      <c r="A44" t="s">
        <v>8</v>
      </c>
      <c r="B44" s="1">
        <v>45571</v>
      </c>
      <c r="C44" s="1"/>
      <c r="D44" s="7">
        <f t="shared" si="6"/>
        <v>0</v>
      </c>
      <c r="E44" s="2">
        <f t="shared" si="7"/>
        <v>0</v>
      </c>
      <c r="F44">
        <f t="shared" si="8"/>
        <v>0</v>
      </c>
      <c r="G44">
        <f t="shared" si="9"/>
        <v>0</v>
      </c>
      <c r="H44">
        <f t="shared" si="10"/>
        <v>0</v>
      </c>
      <c r="I44">
        <f t="shared" si="10"/>
        <v>0</v>
      </c>
      <c r="J44">
        <f t="shared" si="11"/>
        <v>0</v>
      </c>
      <c r="K44">
        <f t="shared" si="11"/>
        <v>0</v>
      </c>
      <c r="L44">
        <f t="shared" si="12"/>
        <v>0</v>
      </c>
      <c r="M44">
        <f t="shared" si="5"/>
        <v>0</v>
      </c>
      <c r="N44">
        <f t="shared" si="13"/>
        <v>0</v>
      </c>
      <c r="O44">
        <f t="shared" si="14"/>
        <v>0</v>
      </c>
      <c r="P44">
        <f t="shared" si="15"/>
        <v>0</v>
      </c>
      <c r="Q44">
        <f t="shared" si="16"/>
        <v>0</v>
      </c>
      <c r="R44">
        <f t="shared" si="16"/>
        <v>0</v>
      </c>
      <c r="S44">
        <f t="shared" si="17"/>
        <v>0</v>
      </c>
      <c r="T44">
        <f t="shared" si="17"/>
        <v>0</v>
      </c>
    </row>
    <row r="45" spans="1:23" x14ac:dyDescent="0.25">
      <c r="A45" t="s">
        <v>2</v>
      </c>
      <c r="B45" s="1">
        <v>45572</v>
      </c>
      <c r="C45" s="1"/>
      <c r="D45" s="7">
        <f t="shared" si="6"/>
        <v>0</v>
      </c>
      <c r="E45" s="2">
        <f t="shared" si="7"/>
        <v>0</v>
      </c>
      <c r="F45">
        <f t="shared" si="8"/>
        <v>0</v>
      </c>
      <c r="G45">
        <f t="shared" si="9"/>
        <v>0</v>
      </c>
      <c r="H45">
        <f t="shared" si="10"/>
        <v>0</v>
      </c>
      <c r="I45">
        <f t="shared" si="10"/>
        <v>0</v>
      </c>
      <c r="J45">
        <f t="shared" si="11"/>
        <v>0</v>
      </c>
      <c r="K45">
        <f t="shared" si="11"/>
        <v>0</v>
      </c>
      <c r="L45">
        <f t="shared" si="12"/>
        <v>0</v>
      </c>
      <c r="M45">
        <f t="shared" si="5"/>
        <v>0</v>
      </c>
      <c r="N45">
        <f t="shared" si="13"/>
        <v>0</v>
      </c>
      <c r="O45">
        <f t="shared" si="14"/>
        <v>0</v>
      </c>
      <c r="P45">
        <f t="shared" si="15"/>
        <v>0</v>
      </c>
      <c r="Q45">
        <f t="shared" si="16"/>
        <v>0</v>
      </c>
      <c r="R45">
        <f t="shared" si="16"/>
        <v>0</v>
      </c>
      <c r="S45">
        <f t="shared" si="17"/>
        <v>0</v>
      </c>
      <c r="T45">
        <f t="shared" si="17"/>
        <v>0</v>
      </c>
    </row>
    <row r="46" spans="1:23" x14ac:dyDescent="0.25">
      <c r="A46" t="s">
        <v>3</v>
      </c>
      <c r="B46" s="1">
        <v>45573</v>
      </c>
      <c r="C46" s="1"/>
      <c r="D46" s="7">
        <f t="shared" si="6"/>
        <v>2500</v>
      </c>
      <c r="E46" s="2">
        <f t="shared" si="7"/>
        <v>0</v>
      </c>
      <c r="F46">
        <f t="shared" si="8"/>
        <v>0</v>
      </c>
      <c r="G46">
        <f t="shared" si="9"/>
        <v>0</v>
      </c>
      <c r="H46">
        <f t="shared" si="10"/>
        <v>2500</v>
      </c>
      <c r="I46">
        <f t="shared" si="10"/>
        <v>0</v>
      </c>
      <c r="J46">
        <f t="shared" si="11"/>
        <v>0</v>
      </c>
      <c r="K46">
        <f t="shared" si="11"/>
        <v>0</v>
      </c>
      <c r="L46">
        <f t="shared" si="12"/>
        <v>0</v>
      </c>
      <c r="M46">
        <f t="shared" si="5"/>
        <v>0</v>
      </c>
      <c r="N46">
        <f t="shared" si="13"/>
        <v>0</v>
      </c>
      <c r="O46">
        <f t="shared" si="14"/>
        <v>0</v>
      </c>
      <c r="P46">
        <f t="shared" si="15"/>
        <v>0</v>
      </c>
      <c r="Q46">
        <f t="shared" si="16"/>
        <v>0</v>
      </c>
      <c r="R46">
        <f t="shared" si="16"/>
        <v>0</v>
      </c>
      <c r="S46">
        <f t="shared" si="17"/>
        <v>0</v>
      </c>
      <c r="T46">
        <f t="shared" si="17"/>
        <v>0</v>
      </c>
    </row>
    <row r="47" spans="1:23" x14ac:dyDescent="0.25">
      <c r="A47" t="s">
        <v>4</v>
      </c>
      <c r="B47" s="1">
        <v>45574</v>
      </c>
      <c r="C47" s="1"/>
      <c r="D47" s="7">
        <f t="shared" si="6"/>
        <v>0</v>
      </c>
      <c r="E47" s="2">
        <f t="shared" si="7"/>
        <v>0</v>
      </c>
      <c r="F47">
        <f t="shared" si="8"/>
        <v>0</v>
      </c>
      <c r="G47">
        <f t="shared" si="9"/>
        <v>0</v>
      </c>
      <c r="H47">
        <f t="shared" si="10"/>
        <v>0</v>
      </c>
      <c r="I47">
        <f t="shared" si="10"/>
        <v>0</v>
      </c>
      <c r="J47">
        <f t="shared" si="11"/>
        <v>0</v>
      </c>
      <c r="K47">
        <f t="shared" si="11"/>
        <v>0</v>
      </c>
      <c r="L47">
        <f t="shared" si="12"/>
        <v>0</v>
      </c>
      <c r="M47">
        <f t="shared" si="5"/>
        <v>0</v>
      </c>
      <c r="N47">
        <f t="shared" si="13"/>
        <v>0</v>
      </c>
      <c r="O47">
        <f t="shared" si="14"/>
        <v>0</v>
      </c>
      <c r="P47">
        <f t="shared" si="15"/>
        <v>0</v>
      </c>
      <c r="Q47">
        <f t="shared" si="16"/>
        <v>0</v>
      </c>
      <c r="R47">
        <f t="shared" si="16"/>
        <v>0</v>
      </c>
      <c r="S47">
        <f t="shared" si="17"/>
        <v>0</v>
      </c>
      <c r="T47">
        <f t="shared" si="17"/>
        <v>0</v>
      </c>
    </row>
    <row r="48" spans="1:23" x14ac:dyDescent="0.25">
      <c r="A48" t="s">
        <v>5</v>
      </c>
      <c r="B48" s="1">
        <v>45575</v>
      </c>
      <c r="C48" s="1"/>
      <c r="D48" s="7">
        <f t="shared" si="6"/>
        <v>0</v>
      </c>
      <c r="E48" s="2">
        <f t="shared" si="7"/>
        <v>0</v>
      </c>
      <c r="F48">
        <f t="shared" si="8"/>
        <v>0</v>
      </c>
      <c r="G48">
        <f t="shared" si="9"/>
        <v>0</v>
      </c>
      <c r="H48">
        <f t="shared" si="10"/>
        <v>0</v>
      </c>
      <c r="I48">
        <f t="shared" si="10"/>
        <v>0</v>
      </c>
      <c r="J48">
        <f t="shared" si="11"/>
        <v>0</v>
      </c>
      <c r="K48">
        <f t="shared" si="11"/>
        <v>0</v>
      </c>
      <c r="L48">
        <f t="shared" si="12"/>
        <v>0</v>
      </c>
      <c r="M48">
        <f t="shared" si="5"/>
        <v>0</v>
      </c>
      <c r="N48">
        <f t="shared" si="13"/>
        <v>0</v>
      </c>
      <c r="O48">
        <f t="shared" si="14"/>
        <v>0</v>
      </c>
      <c r="P48">
        <f t="shared" si="15"/>
        <v>0</v>
      </c>
      <c r="Q48">
        <f t="shared" si="16"/>
        <v>0</v>
      </c>
      <c r="R48">
        <f t="shared" si="16"/>
        <v>0</v>
      </c>
      <c r="S48">
        <f t="shared" si="17"/>
        <v>0</v>
      </c>
      <c r="T48">
        <f t="shared" si="17"/>
        <v>0</v>
      </c>
    </row>
    <row r="49" spans="1:20" x14ac:dyDescent="0.25">
      <c r="A49" t="s">
        <v>6</v>
      </c>
      <c r="B49" s="1">
        <v>45576</v>
      </c>
      <c r="C49" s="1"/>
      <c r="D49" s="7">
        <f t="shared" si="6"/>
        <v>0</v>
      </c>
      <c r="E49" s="2">
        <f t="shared" si="7"/>
        <v>0</v>
      </c>
      <c r="F49">
        <f t="shared" si="8"/>
        <v>0</v>
      </c>
      <c r="G49">
        <f t="shared" si="9"/>
        <v>0</v>
      </c>
      <c r="H49">
        <f t="shared" si="10"/>
        <v>0</v>
      </c>
      <c r="I49">
        <f t="shared" si="10"/>
        <v>0</v>
      </c>
      <c r="J49">
        <f t="shared" si="11"/>
        <v>0</v>
      </c>
      <c r="K49">
        <f t="shared" si="11"/>
        <v>0</v>
      </c>
      <c r="L49">
        <f t="shared" si="12"/>
        <v>0</v>
      </c>
      <c r="M49">
        <f t="shared" si="5"/>
        <v>0</v>
      </c>
      <c r="N49">
        <f t="shared" si="13"/>
        <v>0</v>
      </c>
      <c r="O49">
        <f t="shared" si="14"/>
        <v>0</v>
      </c>
      <c r="P49">
        <f t="shared" si="15"/>
        <v>0</v>
      </c>
      <c r="Q49">
        <f t="shared" si="16"/>
        <v>0</v>
      </c>
      <c r="R49">
        <f t="shared" si="16"/>
        <v>0</v>
      </c>
      <c r="S49">
        <f t="shared" si="17"/>
        <v>0</v>
      </c>
      <c r="T49">
        <f t="shared" si="17"/>
        <v>0</v>
      </c>
    </row>
    <row r="50" spans="1:20" x14ac:dyDescent="0.25">
      <c r="A50" t="s">
        <v>7</v>
      </c>
      <c r="B50" s="1">
        <v>45577</v>
      </c>
      <c r="C50" s="1"/>
      <c r="D50" s="7">
        <f t="shared" si="6"/>
        <v>0</v>
      </c>
      <c r="E50" s="2">
        <f t="shared" si="7"/>
        <v>0</v>
      </c>
      <c r="F50">
        <f t="shared" si="8"/>
        <v>0</v>
      </c>
      <c r="G50">
        <f t="shared" si="9"/>
        <v>0</v>
      </c>
      <c r="H50">
        <f t="shared" si="10"/>
        <v>0</v>
      </c>
      <c r="I50">
        <f t="shared" si="10"/>
        <v>0</v>
      </c>
      <c r="J50">
        <f t="shared" si="11"/>
        <v>0</v>
      </c>
      <c r="K50">
        <f t="shared" si="11"/>
        <v>0</v>
      </c>
      <c r="L50">
        <f t="shared" si="12"/>
        <v>0</v>
      </c>
      <c r="M50">
        <f t="shared" si="5"/>
        <v>0</v>
      </c>
      <c r="N50">
        <f t="shared" si="13"/>
        <v>0</v>
      </c>
      <c r="O50">
        <f t="shared" si="14"/>
        <v>0</v>
      </c>
      <c r="P50">
        <f t="shared" si="15"/>
        <v>0</v>
      </c>
      <c r="Q50">
        <f t="shared" si="16"/>
        <v>0</v>
      </c>
      <c r="R50">
        <f t="shared" si="16"/>
        <v>0</v>
      </c>
      <c r="S50">
        <f t="shared" si="17"/>
        <v>0</v>
      </c>
      <c r="T50">
        <f t="shared" si="17"/>
        <v>0</v>
      </c>
    </row>
    <row r="51" spans="1:20" x14ac:dyDescent="0.25">
      <c r="A51" t="s">
        <v>8</v>
      </c>
      <c r="B51" s="1">
        <v>45578</v>
      </c>
      <c r="C51" s="1"/>
      <c r="D51" s="7">
        <f t="shared" si="6"/>
        <v>0</v>
      </c>
      <c r="E51" s="2">
        <f t="shared" si="7"/>
        <v>0</v>
      </c>
      <c r="F51">
        <f t="shared" si="8"/>
        <v>0</v>
      </c>
      <c r="G51">
        <f t="shared" si="9"/>
        <v>0</v>
      </c>
      <c r="H51">
        <f t="shared" si="10"/>
        <v>0</v>
      </c>
      <c r="I51">
        <f t="shared" si="10"/>
        <v>0</v>
      </c>
      <c r="J51">
        <f t="shared" si="11"/>
        <v>0</v>
      </c>
      <c r="K51">
        <f t="shared" si="11"/>
        <v>0</v>
      </c>
      <c r="L51">
        <f t="shared" si="12"/>
        <v>0</v>
      </c>
      <c r="M51">
        <f t="shared" si="5"/>
        <v>0</v>
      </c>
      <c r="N51">
        <f t="shared" si="13"/>
        <v>0</v>
      </c>
      <c r="O51">
        <f t="shared" si="14"/>
        <v>0</v>
      </c>
      <c r="P51">
        <f t="shared" si="15"/>
        <v>0</v>
      </c>
      <c r="Q51">
        <f t="shared" si="16"/>
        <v>0</v>
      </c>
      <c r="R51">
        <f t="shared" si="16"/>
        <v>0</v>
      </c>
      <c r="S51">
        <f t="shared" si="17"/>
        <v>0</v>
      </c>
      <c r="T51">
        <f t="shared" si="17"/>
        <v>0</v>
      </c>
    </row>
    <row r="52" spans="1:20" x14ac:dyDescent="0.25">
      <c r="A52" t="s">
        <v>2</v>
      </c>
      <c r="B52" s="1">
        <v>45579</v>
      </c>
      <c r="C52" s="1"/>
      <c r="D52" s="7">
        <f t="shared" si="6"/>
        <v>0</v>
      </c>
      <c r="E52" s="2">
        <f t="shared" si="7"/>
        <v>0</v>
      </c>
      <c r="F52">
        <f t="shared" si="8"/>
        <v>0</v>
      </c>
      <c r="G52">
        <f t="shared" si="9"/>
        <v>0</v>
      </c>
      <c r="H52">
        <f t="shared" si="10"/>
        <v>0</v>
      </c>
      <c r="I52">
        <f t="shared" si="10"/>
        <v>0</v>
      </c>
      <c r="J52">
        <f t="shared" si="11"/>
        <v>0</v>
      </c>
      <c r="K52">
        <f t="shared" si="11"/>
        <v>0</v>
      </c>
      <c r="L52">
        <f t="shared" si="12"/>
        <v>0</v>
      </c>
      <c r="M52">
        <f t="shared" si="5"/>
        <v>0</v>
      </c>
      <c r="N52">
        <f t="shared" si="13"/>
        <v>0</v>
      </c>
      <c r="O52">
        <f t="shared" si="14"/>
        <v>0</v>
      </c>
      <c r="P52">
        <f t="shared" si="15"/>
        <v>0</v>
      </c>
      <c r="Q52">
        <f t="shared" si="16"/>
        <v>0</v>
      </c>
      <c r="R52">
        <f t="shared" si="16"/>
        <v>0</v>
      </c>
      <c r="S52">
        <f t="shared" si="17"/>
        <v>0</v>
      </c>
      <c r="T52">
        <f t="shared" si="17"/>
        <v>0</v>
      </c>
    </row>
    <row r="53" spans="1:20" x14ac:dyDescent="0.25">
      <c r="A53" t="s">
        <v>3</v>
      </c>
      <c r="B53" s="1">
        <v>45580</v>
      </c>
      <c r="C53" s="1"/>
      <c r="D53" s="7">
        <f t="shared" si="6"/>
        <v>0</v>
      </c>
      <c r="E53" s="2">
        <f t="shared" si="7"/>
        <v>0</v>
      </c>
      <c r="F53">
        <f t="shared" si="8"/>
        <v>0</v>
      </c>
      <c r="G53">
        <f t="shared" si="9"/>
        <v>0</v>
      </c>
      <c r="H53">
        <f t="shared" si="10"/>
        <v>0</v>
      </c>
      <c r="I53">
        <f t="shared" si="10"/>
        <v>0</v>
      </c>
      <c r="J53">
        <f t="shared" si="11"/>
        <v>0</v>
      </c>
      <c r="K53">
        <f t="shared" si="11"/>
        <v>0</v>
      </c>
      <c r="L53">
        <f t="shared" si="12"/>
        <v>0</v>
      </c>
      <c r="M53">
        <f t="shared" si="5"/>
        <v>0</v>
      </c>
      <c r="N53">
        <f t="shared" si="13"/>
        <v>0</v>
      </c>
      <c r="O53">
        <f t="shared" si="14"/>
        <v>0</v>
      </c>
      <c r="P53">
        <f t="shared" si="15"/>
        <v>0</v>
      </c>
      <c r="Q53">
        <f t="shared" si="16"/>
        <v>0</v>
      </c>
      <c r="R53">
        <f t="shared" si="16"/>
        <v>0</v>
      </c>
      <c r="S53">
        <f t="shared" si="17"/>
        <v>0</v>
      </c>
      <c r="T53">
        <f t="shared" si="17"/>
        <v>0</v>
      </c>
    </row>
    <row r="54" spans="1:20" x14ac:dyDescent="0.25">
      <c r="A54" t="s">
        <v>4</v>
      </c>
      <c r="B54" s="1">
        <v>45581</v>
      </c>
      <c r="C54" s="1"/>
      <c r="D54" s="7">
        <f t="shared" si="6"/>
        <v>0</v>
      </c>
      <c r="E54" s="2">
        <f t="shared" si="7"/>
        <v>0</v>
      </c>
      <c r="F54">
        <f t="shared" si="8"/>
        <v>0</v>
      </c>
      <c r="G54">
        <f t="shared" si="9"/>
        <v>0</v>
      </c>
      <c r="H54">
        <f t="shared" si="10"/>
        <v>0</v>
      </c>
      <c r="I54">
        <f t="shared" si="10"/>
        <v>0</v>
      </c>
      <c r="J54">
        <f t="shared" si="11"/>
        <v>0</v>
      </c>
      <c r="K54">
        <f t="shared" si="11"/>
        <v>0</v>
      </c>
      <c r="L54">
        <f t="shared" si="12"/>
        <v>0</v>
      </c>
      <c r="M54">
        <f t="shared" si="5"/>
        <v>0</v>
      </c>
      <c r="N54">
        <f t="shared" si="13"/>
        <v>0</v>
      </c>
      <c r="O54">
        <f t="shared" si="14"/>
        <v>0</v>
      </c>
      <c r="P54">
        <f t="shared" si="15"/>
        <v>0</v>
      </c>
      <c r="Q54">
        <f t="shared" si="16"/>
        <v>0</v>
      </c>
      <c r="R54">
        <f t="shared" si="16"/>
        <v>0</v>
      </c>
      <c r="S54">
        <f t="shared" si="17"/>
        <v>0</v>
      </c>
      <c r="T54">
        <f t="shared" si="17"/>
        <v>0</v>
      </c>
    </row>
    <row r="55" spans="1:20" x14ac:dyDescent="0.25">
      <c r="A55" t="s">
        <v>5</v>
      </c>
      <c r="B55" s="1">
        <v>45582</v>
      </c>
      <c r="C55" s="1"/>
      <c r="D55" s="7">
        <f t="shared" si="6"/>
        <v>0</v>
      </c>
      <c r="E55" s="2">
        <f t="shared" si="7"/>
        <v>0</v>
      </c>
      <c r="F55">
        <f t="shared" si="8"/>
        <v>0</v>
      </c>
      <c r="G55">
        <f t="shared" si="9"/>
        <v>0</v>
      </c>
      <c r="H55">
        <f t="shared" si="10"/>
        <v>0</v>
      </c>
      <c r="I55">
        <f t="shared" si="10"/>
        <v>0</v>
      </c>
      <c r="J55">
        <f t="shared" si="11"/>
        <v>0</v>
      </c>
      <c r="K55">
        <f t="shared" si="11"/>
        <v>0</v>
      </c>
      <c r="L55">
        <f t="shared" si="12"/>
        <v>0</v>
      </c>
      <c r="M55">
        <f t="shared" si="5"/>
        <v>0</v>
      </c>
      <c r="N55">
        <f t="shared" si="13"/>
        <v>0</v>
      </c>
      <c r="O55">
        <f t="shared" si="14"/>
        <v>0</v>
      </c>
      <c r="P55">
        <f t="shared" si="15"/>
        <v>0</v>
      </c>
      <c r="Q55">
        <f t="shared" si="16"/>
        <v>0</v>
      </c>
      <c r="R55">
        <f t="shared" si="16"/>
        <v>0</v>
      </c>
      <c r="S55">
        <f t="shared" si="17"/>
        <v>0</v>
      </c>
      <c r="T55">
        <f t="shared" si="17"/>
        <v>0</v>
      </c>
    </row>
    <row r="56" spans="1:20" x14ac:dyDescent="0.25">
      <c r="A56" t="s">
        <v>6</v>
      </c>
      <c r="B56" s="1">
        <v>45583</v>
      </c>
      <c r="C56" s="1"/>
      <c r="D56" s="7">
        <f t="shared" si="6"/>
        <v>0</v>
      </c>
      <c r="E56" s="2">
        <f t="shared" si="7"/>
        <v>0</v>
      </c>
      <c r="F56">
        <f t="shared" si="8"/>
        <v>0</v>
      </c>
      <c r="G56">
        <f t="shared" si="9"/>
        <v>0</v>
      </c>
      <c r="H56">
        <f t="shared" si="10"/>
        <v>0</v>
      </c>
      <c r="I56">
        <f t="shared" si="10"/>
        <v>0</v>
      </c>
      <c r="J56">
        <f t="shared" si="11"/>
        <v>0</v>
      </c>
      <c r="K56">
        <f t="shared" si="11"/>
        <v>0</v>
      </c>
      <c r="L56">
        <f t="shared" si="12"/>
        <v>0</v>
      </c>
      <c r="M56">
        <f t="shared" si="5"/>
        <v>0</v>
      </c>
      <c r="N56">
        <f t="shared" si="13"/>
        <v>0</v>
      </c>
      <c r="O56">
        <f t="shared" si="14"/>
        <v>0</v>
      </c>
      <c r="P56">
        <f t="shared" si="15"/>
        <v>0</v>
      </c>
      <c r="Q56">
        <f t="shared" si="16"/>
        <v>0</v>
      </c>
      <c r="R56">
        <f t="shared" si="16"/>
        <v>0</v>
      </c>
      <c r="S56">
        <f t="shared" si="17"/>
        <v>0</v>
      </c>
      <c r="T56">
        <f t="shared" si="17"/>
        <v>0</v>
      </c>
    </row>
    <row r="57" spans="1:20" x14ac:dyDescent="0.25">
      <c r="A57" t="s">
        <v>7</v>
      </c>
      <c r="B57" s="1">
        <v>45584</v>
      </c>
      <c r="C57" s="1"/>
      <c r="D57" s="7">
        <f t="shared" si="6"/>
        <v>0</v>
      </c>
      <c r="E57" s="2">
        <f t="shared" si="7"/>
        <v>0</v>
      </c>
      <c r="F57">
        <f t="shared" si="8"/>
        <v>0</v>
      </c>
      <c r="G57">
        <f t="shared" si="9"/>
        <v>0</v>
      </c>
      <c r="H57">
        <f t="shared" si="10"/>
        <v>0</v>
      </c>
      <c r="I57">
        <f t="shared" si="10"/>
        <v>0</v>
      </c>
      <c r="J57">
        <f t="shared" si="11"/>
        <v>0</v>
      </c>
      <c r="K57">
        <f t="shared" si="11"/>
        <v>0</v>
      </c>
      <c r="L57">
        <f t="shared" si="12"/>
        <v>0</v>
      </c>
      <c r="M57">
        <f t="shared" si="5"/>
        <v>0</v>
      </c>
      <c r="N57">
        <f t="shared" si="13"/>
        <v>0</v>
      </c>
      <c r="O57">
        <f t="shared" si="14"/>
        <v>0</v>
      </c>
      <c r="P57">
        <f t="shared" si="15"/>
        <v>0</v>
      </c>
      <c r="Q57">
        <f t="shared" si="16"/>
        <v>0</v>
      </c>
      <c r="R57">
        <f t="shared" si="16"/>
        <v>0</v>
      </c>
      <c r="S57">
        <f t="shared" si="17"/>
        <v>0</v>
      </c>
      <c r="T57">
        <f t="shared" si="17"/>
        <v>0</v>
      </c>
    </row>
    <row r="58" spans="1:20" x14ac:dyDescent="0.25">
      <c r="A58" t="s">
        <v>8</v>
      </c>
      <c r="B58" s="1">
        <v>45585</v>
      </c>
      <c r="C58" s="1"/>
      <c r="D58" s="7">
        <f t="shared" si="6"/>
        <v>0</v>
      </c>
      <c r="E58" s="2">
        <f t="shared" si="7"/>
        <v>0</v>
      </c>
      <c r="F58">
        <f t="shared" si="8"/>
        <v>0</v>
      </c>
      <c r="G58">
        <f t="shared" si="9"/>
        <v>0</v>
      </c>
      <c r="H58">
        <f t="shared" si="10"/>
        <v>0</v>
      </c>
      <c r="I58">
        <f t="shared" si="10"/>
        <v>0</v>
      </c>
      <c r="J58">
        <f t="shared" si="11"/>
        <v>0</v>
      </c>
      <c r="K58">
        <f t="shared" si="11"/>
        <v>0</v>
      </c>
      <c r="L58">
        <f t="shared" si="12"/>
        <v>0</v>
      </c>
      <c r="M58">
        <f t="shared" si="5"/>
        <v>0</v>
      </c>
      <c r="N58">
        <f t="shared" si="13"/>
        <v>0</v>
      </c>
      <c r="O58">
        <f t="shared" si="14"/>
        <v>0</v>
      </c>
      <c r="P58">
        <f t="shared" si="15"/>
        <v>0</v>
      </c>
      <c r="Q58">
        <f t="shared" si="16"/>
        <v>0</v>
      </c>
      <c r="R58">
        <f t="shared" si="16"/>
        <v>0</v>
      </c>
      <c r="S58">
        <f t="shared" si="17"/>
        <v>0</v>
      </c>
      <c r="T58">
        <f t="shared" si="17"/>
        <v>0</v>
      </c>
    </row>
    <row r="59" spans="1:20" x14ac:dyDescent="0.25">
      <c r="A59" t="s">
        <v>2</v>
      </c>
      <c r="B59" s="1">
        <v>45586</v>
      </c>
      <c r="C59" s="1"/>
      <c r="D59" s="7">
        <f t="shared" si="6"/>
        <v>0</v>
      </c>
      <c r="E59" s="2">
        <f t="shared" si="7"/>
        <v>0</v>
      </c>
      <c r="F59">
        <f t="shared" si="8"/>
        <v>0</v>
      </c>
      <c r="G59">
        <f t="shared" si="9"/>
        <v>0</v>
      </c>
      <c r="H59">
        <f t="shared" si="10"/>
        <v>0</v>
      </c>
      <c r="I59">
        <f t="shared" si="10"/>
        <v>0</v>
      </c>
      <c r="J59">
        <f t="shared" si="11"/>
        <v>0</v>
      </c>
      <c r="K59">
        <f t="shared" si="11"/>
        <v>0</v>
      </c>
      <c r="L59">
        <f t="shared" si="12"/>
        <v>0</v>
      </c>
      <c r="M59">
        <f t="shared" si="5"/>
        <v>0</v>
      </c>
      <c r="N59">
        <f t="shared" si="13"/>
        <v>0</v>
      </c>
      <c r="O59">
        <f t="shared" si="14"/>
        <v>0</v>
      </c>
      <c r="P59">
        <f t="shared" si="15"/>
        <v>0</v>
      </c>
      <c r="Q59">
        <f t="shared" si="16"/>
        <v>0</v>
      </c>
      <c r="R59">
        <f t="shared" si="16"/>
        <v>0</v>
      </c>
      <c r="S59">
        <f t="shared" si="17"/>
        <v>0</v>
      </c>
      <c r="T59">
        <f t="shared" si="17"/>
        <v>0</v>
      </c>
    </row>
    <row r="60" spans="1:20" x14ac:dyDescent="0.25">
      <c r="A60" t="s">
        <v>3</v>
      </c>
      <c r="B60" s="1">
        <v>45587</v>
      </c>
      <c r="C60" s="1"/>
      <c r="D60" s="7">
        <f t="shared" si="6"/>
        <v>0</v>
      </c>
      <c r="E60" s="2">
        <f t="shared" si="7"/>
        <v>0</v>
      </c>
      <c r="F60">
        <f t="shared" si="8"/>
        <v>0</v>
      </c>
      <c r="G60">
        <f t="shared" si="9"/>
        <v>0</v>
      </c>
      <c r="H60">
        <f t="shared" si="10"/>
        <v>0</v>
      </c>
      <c r="I60">
        <f t="shared" si="10"/>
        <v>0</v>
      </c>
      <c r="J60">
        <f t="shared" si="11"/>
        <v>0</v>
      </c>
      <c r="K60">
        <f t="shared" si="11"/>
        <v>0</v>
      </c>
      <c r="L60">
        <f t="shared" si="12"/>
        <v>0</v>
      </c>
      <c r="M60">
        <f t="shared" si="5"/>
        <v>0</v>
      </c>
      <c r="N60">
        <f t="shared" si="13"/>
        <v>0</v>
      </c>
      <c r="O60">
        <f t="shared" si="14"/>
        <v>0</v>
      </c>
      <c r="P60">
        <f t="shared" si="15"/>
        <v>0</v>
      </c>
      <c r="Q60">
        <f t="shared" si="16"/>
        <v>0</v>
      </c>
      <c r="R60">
        <f t="shared" si="16"/>
        <v>0</v>
      </c>
      <c r="S60">
        <f t="shared" si="17"/>
        <v>0</v>
      </c>
      <c r="T60">
        <f t="shared" si="17"/>
        <v>0</v>
      </c>
    </row>
    <row r="61" spans="1:20" x14ac:dyDescent="0.25">
      <c r="A61" t="s">
        <v>4</v>
      </c>
      <c r="B61" s="1">
        <v>45588</v>
      </c>
      <c r="C61" s="1"/>
      <c r="D61" s="7">
        <f t="shared" si="6"/>
        <v>0</v>
      </c>
      <c r="E61" s="2">
        <f t="shared" si="7"/>
        <v>0</v>
      </c>
      <c r="F61">
        <f t="shared" si="8"/>
        <v>0</v>
      </c>
      <c r="G61">
        <f t="shared" si="9"/>
        <v>0</v>
      </c>
      <c r="H61">
        <f t="shared" si="10"/>
        <v>0</v>
      </c>
      <c r="I61">
        <f t="shared" si="10"/>
        <v>0</v>
      </c>
      <c r="J61">
        <f t="shared" si="11"/>
        <v>0</v>
      </c>
      <c r="K61">
        <f t="shared" si="11"/>
        <v>0</v>
      </c>
      <c r="L61">
        <f t="shared" si="12"/>
        <v>0</v>
      </c>
      <c r="M61">
        <f t="shared" si="5"/>
        <v>0</v>
      </c>
      <c r="N61">
        <f t="shared" si="13"/>
        <v>0</v>
      </c>
      <c r="O61">
        <f t="shared" si="14"/>
        <v>0</v>
      </c>
      <c r="P61">
        <f t="shared" si="15"/>
        <v>0</v>
      </c>
      <c r="Q61">
        <f t="shared" si="16"/>
        <v>0</v>
      </c>
      <c r="R61">
        <f t="shared" si="16"/>
        <v>0</v>
      </c>
      <c r="S61">
        <f t="shared" si="17"/>
        <v>0</v>
      </c>
      <c r="T61">
        <f t="shared" si="17"/>
        <v>0</v>
      </c>
    </row>
    <row r="62" spans="1:20" x14ac:dyDescent="0.25">
      <c r="A62" t="s">
        <v>5</v>
      </c>
      <c r="B62" s="1">
        <v>45589</v>
      </c>
      <c r="C62" s="1"/>
      <c r="D62" s="7">
        <f t="shared" si="6"/>
        <v>0</v>
      </c>
      <c r="E62" s="2">
        <f t="shared" si="7"/>
        <v>0</v>
      </c>
      <c r="F62">
        <f t="shared" si="8"/>
        <v>0</v>
      </c>
      <c r="G62">
        <f t="shared" si="9"/>
        <v>0</v>
      </c>
      <c r="H62">
        <f t="shared" si="10"/>
        <v>0</v>
      </c>
      <c r="I62">
        <f t="shared" si="10"/>
        <v>0</v>
      </c>
      <c r="J62">
        <f t="shared" si="11"/>
        <v>0</v>
      </c>
      <c r="K62">
        <f t="shared" si="11"/>
        <v>0</v>
      </c>
      <c r="L62">
        <f t="shared" si="12"/>
        <v>0</v>
      </c>
      <c r="M62">
        <f t="shared" si="5"/>
        <v>0</v>
      </c>
      <c r="N62">
        <f t="shared" si="13"/>
        <v>0</v>
      </c>
      <c r="O62">
        <f t="shared" si="14"/>
        <v>0</v>
      </c>
      <c r="P62">
        <f t="shared" si="15"/>
        <v>0</v>
      </c>
      <c r="Q62">
        <f t="shared" si="16"/>
        <v>0</v>
      </c>
      <c r="R62">
        <f t="shared" si="16"/>
        <v>0</v>
      </c>
      <c r="S62">
        <f t="shared" si="17"/>
        <v>0</v>
      </c>
      <c r="T62">
        <f t="shared" si="17"/>
        <v>0</v>
      </c>
    </row>
    <row r="63" spans="1:20" x14ac:dyDescent="0.25">
      <c r="A63" t="s">
        <v>6</v>
      </c>
      <c r="B63" s="1">
        <v>45590</v>
      </c>
      <c r="C63" s="1"/>
      <c r="D63" s="7">
        <f t="shared" si="6"/>
        <v>0</v>
      </c>
      <c r="E63" s="2">
        <f t="shared" si="7"/>
        <v>0</v>
      </c>
      <c r="F63">
        <f t="shared" si="8"/>
        <v>0</v>
      </c>
      <c r="G63">
        <f t="shared" si="9"/>
        <v>0</v>
      </c>
      <c r="H63">
        <f t="shared" si="10"/>
        <v>0</v>
      </c>
      <c r="I63">
        <f t="shared" si="10"/>
        <v>0</v>
      </c>
      <c r="J63">
        <f t="shared" si="11"/>
        <v>0</v>
      </c>
      <c r="K63">
        <f t="shared" si="11"/>
        <v>0</v>
      </c>
      <c r="L63">
        <f t="shared" si="12"/>
        <v>0</v>
      </c>
      <c r="M63">
        <f t="shared" si="5"/>
        <v>0</v>
      </c>
      <c r="N63">
        <f t="shared" si="13"/>
        <v>0</v>
      </c>
      <c r="O63">
        <f t="shared" si="14"/>
        <v>0</v>
      </c>
      <c r="P63">
        <f t="shared" si="15"/>
        <v>0</v>
      </c>
      <c r="Q63">
        <f t="shared" si="16"/>
        <v>0</v>
      </c>
      <c r="R63">
        <f t="shared" si="16"/>
        <v>0</v>
      </c>
      <c r="S63">
        <f t="shared" si="17"/>
        <v>0</v>
      </c>
      <c r="T63">
        <f t="shared" si="17"/>
        <v>0</v>
      </c>
    </row>
    <row r="64" spans="1:20" x14ac:dyDescent="0.25">
      <c r="A64" t="s">
        <v>7</v>
      </c>
      <c r="B64" s="1">
        <v>45591</v>
      </c>
      <c r="C64" s="1"/>
      <c r="D64" s="7">
        <f t="shared" si="6"/>
        <v>0</v>
      </c>
      <c r="E64" s="2">
        <f t="shared" si="7"/>
        <v>0</v>
      </c>
      <c r="F64">
        <f t="shared" si="8"/>
        <v>0</v>
      </c>
      <c r="G64">
        <f t="shared" si="9"/>
        <v>0</v>
      </c>
      <c r="H64">
        <f t="shared" si="10"/>
        <v>0</v>
      </c>
      <c r="I64">
        <f t="shared" si="10"/>
        <v>0</v>
      </c>
      <c r="J64">
        <f t="shared" si="11"/>
        <v>0</v>
      </c>
      <c r="K64">
        <f t="shared" si="11"/>
        <v>0</v>
      </c>
      <c r="L64">
        <f t="shared" si="12"/>
        <v>0</v>
      </c>
      <c r="M64">
        <f t="shared" si="5"/>
        <v>0</v>
      </c>
      <c r="N64">
        <f t="shared" si="13"/>
        <v>0</v>
      </c>
      <c r="O64">
        <f t="shared" si="14"/>
        <v>0</v>
      </c>
      <c r="P64">
        <f t="shared" si="15"/>
        <v>0</v>
      </c>
      <c r="Q64">
        <f t="shared" si="16"/>
        <v>0</v>
      </c>
      <c r="R64">
        <f t="shared" si="16"/>
        <v>0</v>
      </c>
      <c r="S64">
        <f t="shared" si="17"/>
        <v>0</v>
      </c>
      <c r="T64">
        <f t="shared" si="17"/>
        <v>0</v>
      </c>
    </row>
    <row r="65" spans="1:20" x14ac:dyDescent="0.25">
      <c r="A65" t="s">
        <v>8</v>
      </c>
      <c r="B65" s="1">
        <v>45592</v>
      </c>
      <c r="C65" s="1"/>
      <c r="D65" s="7">
        <f t="shared" si="6"/>
        <v>0</v>
      </c>
      <c r="E65" s="2">
        <f t="shared" si="7"/>
        <v>0</v>
      </c>
      <c r="F65">
        <f t="shared" si="8"/>
        <v>0</v>
      </c>
      <c r="G65">
        <f t="shared" si="9"/>
        <v>0</v>
      </c>
      <c r="H65">
        <f t="shared" si="10"/>
        <v>0</v>
      </c>
      <c r="I65">
        <f t="shared" si="10"/>
        <v>0</v>
      </c>
      <c r="J65">
        <f t="shared" si="11"/>
        <v>0</v>
      </c>
      <c r="K65">
        <f t="shared" si="11"/>
        <v>0</v>
      </c>
      <c r="L65">
        <f t="shared" si="12"/>
        <v>0</v>
      </c>
      <c r="M65">
        <f t="shared" si="5"/>
        <v>0</v>
      </c>
      <c r="N65">
        <f t="shared" si="13"/>
        <v>0</v>
      </c>
      <c r="O65">
        <f t="shared" si="14"/>
        <v>0</v>
      </c>
      <c r="P65">
        <f t="shared" si="15"/>
        <v>0</v>
      </c>
      <c r="Q65">
        <f t="shared" si="16"/>
        <v>0</v>
      </c>
      <c r="R65">
        <f t="shared" si="16"/>
        <v>0</v>
      </c>
      <c r="S65">
        <f t="shared" si="17"/>
        <v>0</v>
      </c>
      <c r="T65">
        <f t="shared" si="17"/>
        <v>0</v>
      </c>
    </row>
    <row r="66" spans="1:20" x14ac:dyDescent="0.25">
      <c r="A66" t="s">
        <v>2</v>
      </c>
      <c r="B66" s="1">
        <v>45593</v>
      </c>
      <c r="C66" s="1"/>
      <c r="D66" s="7">
        <f t="shared" si="6"/>
        <v>0</v>
      </c>
      <c r="E66" s="2">
        <f t="shared" si="7"/>
        <v>0</v>
      </c>
      <c r="F66">
        <f t="shared" si="8"/>
        <v>0</v>
      </c>
      <c r="G66">
        <f t="shared" si="9"/>
        <v>0</v>
      </c>
      <c r="H66">
        <f t="shared" si="10"/>
        <v>0</v>
      </c>
      <c r="I66">
        <f t="shared" si="10"/>
        <v>0</v>
      </c>
      <c r="J66">
        <f t="shared" si="11"/>
        <v>0</v>
      </c>
      <c r="K66">
        <f t="shared" si="11"/>
        <v>0</v>
      </c>
      <c r="L66">
        <f t="shared" si="12"/>
        <v>0</v>
      </c>
      <c r="M66">
        <f t="shared" si="5"/>
        <v>0</v>
      </c>
      <c r="N66">
        <f t="shared" si="13"/>
        <v>0</v>
      </c>
      <c r="O66">
        <f t="shared" si="14"/>
        <v>0</v>
      </c>
      <c r="P66">
        <f t="shared" si="15"/>
        <v>0</v>
      </c>
      <c r="Q66">
        <f t="shared" si="16"/>
        <v>0</v>
      </c>
      <c r="R66">
        <f t="shared" si="16"/>
        <v>0</v>
      </c>
      <c r="S66">
        <f t="shared" si="17"/>
        <v>0</v>
      </c>
      <c r="T66">
        <f t="shared" si="17"/>
        <v>0</v>
      </c>
    </row>
    <row r="67" spans="1:20" x14ac:dyDescent="0.25">
      <c r="A67" t="s">
        <v>3</v>
      </c>
      <c r="B67" s="1">
        <v>45594</v>
      </c>
      <c r="C67" s="1"/>
      <c r="D67" s="7">
        <f t="shared" si="6"/>
        <v>0</v>
      </c>
      <c r="E67" s="2">
        <f t="shared" si="7"/>
        <v>0</v>
      </c>
      <c r="F67">
        <f t="shared" si="8"/>
        <v>0</v>
      </c>
      <c r="G67">
        <f t="shared" si="9"/>
        <v>0</v>
      </c>
      <c r="H67">
        <f t="shared" si="10"/>
        <v>0</v>
      </c>
      <c r="I67">
        <f t="shared" si="10"/>
        <v>0</v>
      </c>
      <c r="J67">
        <f t="shared" si="11"/>
        <v>0</v>
      </c>
      <c r="K67">
        <f t="shared" si="11"/>
        <v>0</v>
      </c>
      <c r="L67">
        <f>PRODUCT(2500,L30)</f>
        <v>0</v>
      </c>
      <c r="M67">
        <f t="shared" si="5"/>
        <v>0</v>
      </c>
      <c r="N67">
        <f t="shared" si="13"/>
        <v>0</v>
      </c>
      <c r="O67">
        <f t="shared" si="14"/>
        <v>0</v>
      </c>
      <c r="P67">
        <f t="shared" si="15"/>
        <v>0</v>
      </c>
      <c r="Q67">
        <f t="shared" si="16"/>
        <v>0</v>
      </c>
      <c r="R67">
        <f t="shared" si="16"/>
        <v>0</v>
      </c>
      <c r="S67">
        <f t="shared" si="17"/>
        <v>0</v>
      </c>
      <c r="T67">
        <f t="shared" si="17"/>
        <v>0</v>
      </c>
    </row>
    <row r="68" spans="1:20" x14ac:dyDescent="0.25">
      <c r="A68" t="s">
        <v>4</v>
      </c>
      <c r="B68" s="1">
        <v>45595</v>
      </c>
      <c r="C68" s="1"/>
      <c r="D68" s="7">
        <f t="shared" si="6"/>
        <v>0</v>
      </c>
      <c r="E68" s="2">
        <f t="shared" si="7"/>
        <v>0</v>
      </c>
      <c r="F68">
        <f t="shared" si="8"/>
        <v>0</v>
      </c>
      <c r="G68">
        <f t="shared" si="9"/>
        <v>0</v>
      </c>
      <c r="H68">
        <f t="shared" si="10"/>
        <v>0</v>
      </c>
      <c r="I68">
        <f t="shared" si="10"/>
        <v>0</v>
      </c>
      <c r="J68">
        <f t="shared" si="11"/>
        <v>0</v>
      </c>
      <c r="K68">
        <f t="shared" si="11"/>
        <v>0</v>
      </c>
      <c r="L68">
        <f t="shared" si="12"/>
        <v>0</v>
      </c>
      <c r="M68">
        <f t="shared" si="5"/>
        <v>0</v>
      </c>
      <c r="N68">
        <f t="shared" si="13"/>
        <v>0</v>
      </c>
      <c r="O68">
        <f t="shared" si="14"/>
        <v>0</v>
      </c>
      <c r="P68">
        <f t="shared" si="15"/>
        <v>0</v>
      </c>
      <c r="Q68">
        <f t="shared" si="16"/>
        <v>0</v>
      </c>
      <c r="R68">
        <f t="shared" si="16"/>
        <v>0</v>
      </c>
      <c r="S68">
        <f t="shared" si="17"/>
        <v>0</v>
      </c>
      <c r="T68">
        <f t="shared" si="17"/>
        <v>0</v>
      </c>
    </row>
    <row r="69" spans="1:20" x14ac:dyDescent="0.25">
      <c r="A69" t="s">
        <v>5</v>
      </c>
      <c r="B69" s="1">
        <v>45596</v>
      </c>
      <c r="C69" s="1"/>
      <c r="D69" s="7">
        <f t="shared" si="6"/>
        <v>0</v>
      </c>
      <c r="E69" s="2">
        <f t="shared" si="7"/>
        <v>0</v>
      </c>
      <c r="F69">
        <f t="shared" si="8"/>
        <v>0</v>
      </c>
      <c r="G69">
        <f t="shared" si="9"/>
        <v>0</v>
      </c>
      <c r="H69">
        <f t="shared" si="10"/>
        <v>0</v>
      </c>
      <c r="I69">
        <f t="shared" si="10"/>
        <v>0</v>
      </c>
      <c r="J69">
        <f t="shared" si="11"/>
        <v>0</v>
      </c>
      <c r="K69">
        <f t="shared" si="11"/>
        <v>0</v>
      </c>
      <c r="L69">
        <f t="shared" si="12"/>
        <v>0</v>
      </c>
      <c r="M69">
        <f t="shared" si="5"/>
        <v>0</v>
      </c>
      <c r="N69">
        <f t="shared" si="13"/>
        <v>0</v>
      </c>
      <c r="O69">
        <f t="shared" si="14"/>
        <v>0</v>
      </c>
      <c r="P69">
        <f t="shared" si="15"/>
        <v>0</v>
      </c>
      <c r="Q69">
        <f t="shared" si="16"/>
        <v>0</v>
      </c>
      <c r="R69">
        <f t="shared" si="16"/>
        <v>0</v>
      </c>
      <c r="S69">
        <f t="shared" si="17"/>
        <v>0</v>
      </c>
      <c r="T69">
        <f t="shared" si="17"/>
        <v>0</v>
      </c>
    </row>
    <row r="70" spans="1:20" x14ac:dyDescent="0.25">
      <c r="B70" t="s">
        <v>26</v>
      </c>
      <c r="D70" s="7">
        <f>SUM(D39:D69)</f>
        <v>34600</v>
      </c>
      <c r="E70" s="7">
        <f t="shared" ref="E70:T70" si="18">SUM(E39:E69)</f>
        <v>3500</v>
      </c>
      <c r="F70" s="7">
        <f t="shared" si="18"/>
        <v>0</v>
      </c>
      <c r="G70" s="5">
        <f t="shared" si="18"/>
        <v>0</v>
      </c>
      <c r="H70" s="7">
        <f t="shared" si="18"/>
        <v>5000</v>
      </c>
      <c r="I70" s="5">
        <f t="shared" si="18"/>
        <v>0</v>
      </c>
      <c r="J70" s="5">
        <f t="shared" si="18"/>
        <v>2800</v>
      </c>
      <c r="K70" s="5">
        <f t="shared" si="18"/>
        <v>0</v>
      </c>
      <c r="L70" s="5">
        <f t="shared" si="18"/>
        <v>5000</v>
      </c>
      <c r="M70" s="5">
        <f t="shared" si="18"/>
        <v>0</v>
      </c>
      <c r="N70" s="5">
        <f t="shared" si="18"/>
        <v>0</v>
      </c>
      <c r="O70" s="5">
        <f t="shared" si="18"/>
        <v>3300</v>
      </c>
      <c r="P70" s="5">
        <f t="shared" si="18"/>
        <v>0</v>
      </c>
      <c r="Q70" s="5">
        <f t="shared" si="18"/>
        <v>15000</v>
      </c>
      <c r="R70" s="5">
        <f t="shared" si="18"/>
        <v>0</v>
      </c>
      <c r="S70" s="5">
        <f t="shared" si="18"/>
        <v>0</v>
      </c>
      <c r="T70" s="5">
        <f t="shared" si="18"/>
        <v>0</v>
      </c>
    </row>
    <row r="73" spans="1:20" x14ac:dyDescent="0.25">
      <c r="A73" s="98" t="s">
        <v>31</v>
      </c>
      <c r="B73" s="98"/>
      <c r="C73" s="98"/>
      <c r="D73" s="98"/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</row>
    <row r="74" spans="1:20" x14ac:dyDescent="0.25">
      <c r="A74" s="97" t="s">
        <v>29</v>
      </c>
      <c r="B74" s="97"/>
      <c r="C74" s="97"/>
      <c r="D74" s="97"/>
    </row>
    <row r="75" spans="1:20" x14ac:dyDescent="0.25">
      <c r="A75" s="5" t="s">
        <v>0</v>
      </c>
      <c r="B75" s="5" t="s">
        <v>1</v>
      </c>
      <c r="C75" s="5"/>
      <c r="D75" s="5" t="s">
        <v>30</v>
      </c>
      <c r="E75" s="5" t="s">
        <v>9</v>
      </c>
      <c r="F75" s="5" t="s">
        <v>10</v>
      </c>
      <c r="G75" s="5" t="s">
        <v>11</v>
      </c>
      <c r="H75" s="5" t="s">
        <v>12</v>
      </c>
      <c r="I75" s="5" t="s">
        <v>13</v>
      </c>
      <c r="J75" s="5" t="s">
        <v>14</v>
      </c>
      <c r="K75" s="5" t="s">
        <v>15</v>
      </c>
      <c r="L75" s="5" t="s">
        <v>16</v>
      </c>
      <c r="M75" s="5" t="s">
        <v>17</v>
      </c>
      <c r="N75" s="5" t="s">
        <v>18</v>
      </c>
      <c r="O75" s="5" t="s">
        <v>19</v>
      </c>
      <c r="P75" s="5" t="s">
        <v>20</v>
      </c>
      <c r="Q75" s="5" t="s">
        <v>21</v>
      </c>
      <c r="R75" s="5" t="s">
        <v>22</v>
      </c>
      <c r="S75" s="5" t="s">
        <v>23</v>
      </c>
      <c r="T75" s="5" t="s">
        <v>24</v>
      </c>
    </row>
    <row r="76" spans="1:20" x14ac:dyDescent="0.25">
      <c r="A76" t="s">
        <v>3</v>
      </c>
      <c r="B76" s="1">
        <v>45566</v>
      </c>
      <c r="C76" s="1"/>
      <c r="D76" s="6">
        <f>SUM(E76:T76)</f>
        <v>0</v>
      </c>
      <c r="E76">
        <f t="shared" ref="E76:O76" si="19">SUM(E73,E113,E151,-E2)</f>
        <v>0</v>
      </c>
      <c r="F76">
        <f t="shared" si="19"/>
        <v>0</v>
      </c>
      <c r="G76">
        <f t="shared" si="19"/>
        <v>0</v>
      </c>
      <c r="H76">
        <f t="shared" si="19"/>
        <v>0</v>
      </c>
      <c r="I76">
        <f t="shared" si="19"/>
        <v>0</v>
      </c>
      <c r="J76">
        <f t="shared" si="19"/>
        <v>0</v>
      </c>
      <c r="K76">
        <f t="shared" si="19"/>
        <v>0</v>
      </c>
      <c r="L76">
        <f t="shared" si="19"/>
        <v>0</v>
      </c>
      <c r="M76">
        <f t="shared" si="19"/>
        <v>0</v>
      </c>
      <c r="N76">
        <f t="shared" si="19"/>
        <v>0</v>
      </c>
      <c r="O76">
        <f t="shared" si="19"/>
        <v>0</v>
      </c>
      <c r="P76">
        <f>SUM(P73,P113,P151,-P2)</f>
        <v>0</v>
      </c>
      <c r="Q76">
        <f t="shared" ref="Q76:T76" si="20">SUM(Q73,Q113,Q151,-Q2)</f>
        <v>0</v>
      </c>
      <c r="R76">
        <f t="shared" si="20"/>
        <v>0</v>
      </c>
      <c r="S76">
        <f t="shared" si="20"/>
        <v>0</v>
      </c>
      <c r="T76">
        <f t="shared" si="20"/>
        <v>0</v>
      </c>
    </row>
    <row r="77" spans="1:20" x14ac:dyDescent="0.25">
      <c r="A77" t="s">
        <v>4</v>
      </c>
      <c r="B77" s="1">
        <v>45567</v>
      </c>
      <c r="C77" s="1"/>
      <c r="D77" s="6">
        <f t="shared" ref="D77:D106" si="21">SUM(E77:T77)</f>
        <v>-6</v>
      </c>
      <c r="E77">
        <f t="shared" ref="E77:M92" si="22">(E76-E3)+E114+E152</f>
        <v>0</v>
      </c>
      <c r="F77">
        <f t="shared" si="22"/>
        <v>0</v>
      </c>
      <c r="G77">
        <f t="shared" si="22"/>
        <v>0</v>
      </c>
      <c r="H77">
        <f t="shared" si="22"/>
        <v>0</v>
      </c>
      <c r="I77">
        <f t="shared" si="22"/>
        <v>0</v>
      </c>
      <c r="J77">
        <f t="shared" si="22"/>
        <v>0</v>
      </c>
      <c r="K77">
        <f t="shared" si="22"/>
        <v>0</v>
      </c>
      <c r="L77">
        <f t="shared" si="22"/>
        <v>-2</v>
      </c>
      <c r="M77">
        <f t="shared" si="22"/>
        <v>0</v>
      </c>
      <c r="N77">
        <f t="shared" ref="N77:O92" si="23">(N76-N3)+N114+N152</f>
        <v>0</v>
      </c>
      <c r="O77">
        <f t="shared" si="23"/>
        <v>0</v>
      </c>
      <c r="P77">
        <f>(P76-P3)+P114+P152</f>
        <v>0</v>
      </c>
      <c r="Q77">
        <f t="shared" ref="Q77:T92" si="24">(Q76-Q3)+Q114+Q152</f>
        <v>-4</v>
      </c>
      <c r="R77">
        <f t="shared" si="24"/>
        <v>0</v>
      </c>
      <c r="S77">
        <f t="shared" si="24"/>
        <v>0</v>
      </c>
      <c r="T77">
        <f t="shared" si="24"/>
        <v>0</v>
      </c>
    </row>
    <row r="78" spans="1:20" x14ac:dyDescent="0.25">
      <c r="A78" t="s">
        <v>5</v>
      </c>
      <c r="B78" s="1">
        <v>45568</v>
      </c>
      <c r="C78" s="1"/>
      <c r="D78" s="6">
        <f t="shared" si="21"/>
        <v>-4</v>
      </c>
      <c r="E78">
        <f t="shared" si="22"/>
        <v>0</v>
      </c>
      <c r="F78">
        <f t="shared" si="22"/>
        <v>0</v>
      </c>
      <c r="G78">
        <f t="shared" si="22"/>
        <v>0</v>
      </c>
      <c r="H78">
        <f>(H77-H4)+H115+H153</f>
        <v>1</v>
      </c>
      <c r="I78">
        <f t="shared" si="22"/>
        <v>0</v>
      </c>
      <c r="J78">
        <f t="shared" si="22"/>
        <v>0</v>
      </c>
      <c r="K78">
        <f t="shared" si="22"/>
        <v>0</v>
      </c>
      <c r="L78">
        <f t="shared" si="22"/>
        <v>-2</v>
      </c>
      <c r="M78">
        <f t="shared" si="22"/>
        <v>0</v>
      </c>
      <c r="N78">
        <f t="shared" si="23"/>
        <v>0</v>
      </c>
      <c r="O78">
        <f t="shared" si="23"/>
        <v>-1</v>
      </c>
      <c r="P78">
        <f t="shared" ref="P78:T106" si="25">(P77-P4)+P115+P153</f>
        <v>0</v>
      </c>
      <c r="Q78">
        <f t="shared" si="24"/>
        <v>-3</v>
      </c>
      <c r="R78">
        <f t="shared" si="24"/>
        <v>1</v>
      </c>
      <c r="S78">
        <f t="shared" si="24"/>
        <v>0</v>
      </c>
      <c r="T78">
        <f t="shared" si="24"/>
        <v>0</v>
      </c>
    </row>
    <row r="79" spans="1:20" x14ac:dyDescent="0.25">
      <c r="A79" t="s">
        <v>6</v>
      </c>
      <c r="B79" s="1">
        <v>45569</v>
      </c>
      <c r="C79" s="1"/>
      <c r="D79" s="6">
        <f t="shared" si="21"/>
        <v>-4</v>
      </c>
      <c r="E79">
        <f t="shared" si="22"/>
        <v>0</v>
      </c>
      <c r="F79">
        <f t="shared" si="22"/>
        <v>0</v>
      </c>
      <c r="G79">
        <f t="shared" si="22"/>
        <v>0</v>
      </c>
      <c r="H79">
        <f t="shared" si="22"/>
        <v>0</v>
      </c>
      <c r="I79">
        <f t="shared" si="22"/>
        <v>0</v>
      </c>
      <c r="J79">
        <f t="shared" si="22"/>
        <v>0</v>
      </c>
      <c r="K79">
        <f t="shared" si="22"/>
        <v>0</v>
      </c>
      <c r="L79">
        <f t="shared" si="22"/>
        <v>-2</v>
      </c>
      <c r="M79">
        <f t="shared" si="22"/>
        <v>0</v>
      </c>
      <c r="N79">
        <f t="shared" si="23"/>
        <v>0</v>
      </c>
      <c r="O79">
        <f t="shared" si="23"/>
        <v>0</v>
      </c>
      <c r="P79">
        <f t="shared" si="25"/>
        <v>0</v>
      </c>
      <c r="Q79">
        <f t="shared" si="24"/>
        <v>-3</v>
      </c>
      <c r="R79">
        <f t="shared" si="24"/>
        <v>1</v>
      </c>
      <c r="S79">
        <f t="shared" si="24"/>
        <v>0</v>
      </c>
      <c r="T79">
        <f t="shared" si="24"/>
        <v>0</v>
      </c>
    </row>
    <row r="80" spans="1:20" x14ac:dyDescent="0.25">
      <c r="A80" t="s">
        <v>7</v>
      </c>
      <c r="B80" s="1">
        <v>45570</v>
      </c>
      <c r="C80" s="1"/>
      <c r="D80" s="6">
        <f t="shared" si="21"/>
        <v>-6</v>
      </c>
      <c r="E80">
        <f t="shared" si="22"/>
        <v>-1</v>
      </c>
      <c r="F80">
        <f t="shared" si="22"/>
        <v>0</v>
      </c>
      <c r="G80">
        <f t="shared" si="22"/>
        <v>0</v>
      </c>
      <c r="H80">
        <f t="shared" si="22"/>
        <v>0</v>
      </c>
      <c r="I80">
        <f t="shared" si="22"/>
        <v>0</v>
      </c>
      <c r="J80">
        <f t="shared" si="22"/>
        <v>0</v>
      </c>
      <c r="K80">
        <f t="shared" si="22"/>
        <v>0</v>
      </c>
      <c r="L80">
        <f t="shared" si="22"/>
        <v>-2</v>
      </c>
      <c r="M80">
        <f t="shared" si="22"/>
        <v>0</v>
      </c>
      <c r="N80">
        <f t="shared" si="23"/>
        <v>0</v>
      </c>
      <c r="O80">
        <f t="shared" si="23"/>
        <v>0</v>
      </c>
      <c r="P80">
        <f t="shared" si="25"/>
        <v>0</v>
      </c>
      <c r="Q80">
        <f t="shared" si="24"/>
        <v>-4</v>
      </c>
      <c r="R80">
        <f t="shared" si="24"/>
        <v>1</v>
      </c>
      <c r="S80">
        <f t="shared" si="24"/>
        <v>0</v>
      </c>
      <c r="T80">
        <f t="shared" si="24"/>
        <v>0</v>
      </c>
    </row>
    <row r="81" spans="1:20" x14ac:dyDescent="0.25">
      <c r="A81" t="s">
        <v>8</v>
      </c>
      <c r="B81" s="1">
        <v>45571</v>
      </c>
      <c r="C81" s="1"/>
      <c r="D81" s="6">
        <f t="shared" si="21"/>
        <v>-6</v>
      </c>
      <c r="E81">
        <f t="shared" si="22"/>
        <v>-1</v>
      </c>
      <c r="F81">
        <f t="shared" si="22"/>
        <v>0</v>
      </c>
      <c r="G81">
        <f t="shared" si="22"/>
        <v>0</v>
      </c>
      <c r="H81">
        <f t="shared" si="22"/>
        <v>0</v>
      </c>
      <c r="I81">
        <f t="shared" si="22"/>
        <v>0</v>
      </c>
      <c r="J81">
        <f t="shared" si="22"/>
        <v>0</v>
      </c>
      <c r="K81">
        <f t="shared" si="22"/>
        <v>0</v>
      </c>
      <c r="L81">
        <f t="shared" si="22"/>
        <v>-2</v>
      </c>
      <c r="M81">
        <f t="shared" si="22"/>
        <v>0</v>
      </c>
      <c r="N81">
        <f t="shared" si="23"/>
        <v>0</v>
      </c>
      <c r="O81">
        <f t="shared" si="23"/>
        <v>0</v>
      </c>
      <c r="P81">
        <f t="shared" si="25"/>
        <v>0</v>
      </c>
      <c r="Q81">
        <f t="shared" si="24"/>
        <v>-4</v>
      </c>
      <c r="R81">
        <f t="shared" si="24"/>
        <v>1</v>
      </c>
      <c r="S81">
        <f t="shared" si="24"/>
        <v>0</v>
      </c>
      <c r="T81">
        <f t="shared" si="24"/>
        <v>0</v>
      </c>
    </row>
    <row r="82" spans="1:20" x14ac:dyDescent="0.25">
      <c r="A82" t="s">
        <v>2</v>
      </c>
      <c r="B82" s="1">
        <v>45572</v>
      </c>
      <c r="C82" s="1"/>
      <c r="D82" s="6">
        <f t="shared" si="21"/>
        <v>-6</v>
      </c>
      <c r="E82">
        <f t="shared" si="22"/>
        <v>-1</v>
      </c>
      <c r="F82">
        <f t="shared" si="22"/>
        <v>0</v>
      </c>
      <c r="G82">
        <f t="shared" si="22"/>
        <v>0</v>
      </c>
      <c r="H82">
        <f t="shared" si="22"/>
        <v>0</v>
      </c>
      <c r="I82">
        <f t="shared" si="22"/>
        <v>0</v>
      </c>
      <c r="J82">
        <f t="shared" si="22"/>
        <v>0</v>
      </c>
      <c r="K82">
        <f t="shared" si="22"/>
        <v>0</v>
      </c>
      <c r="L82">
        <f t="shared" si="22"/>
        <v>-2</v>
      </c>
      <c r="M82">
        <f t="shared" si="22"/>
        <v>0</v>
      </c>
      <c r="N82">
        <f t="shared" si="23"/>
        <v>0</v>
      </c>
      <c r="O82">
        <f t="shared" si="23"/>
        <v>0</v>
      </c>
      <c r="P82">
        <f t="shared" si="25"/>
        <v>0</v>
      </c>
      <c r="Q82">
        <f t="shared" si="24"/>
        <v>-4</v>
      </c>
      <c r="R82">
        <f t="shared" si="24"/>
        <v>1</v>
      </c>
      <c r="S82">
        <f t="shared" si="24"/>
        <v>0</v>
      </c>
      <c r="T82">
        <f t="shared" si="24"/>
        <v>0</v>
      </c>
    </row>
    <row r="83" spans="1:20" x14ac:dyDescent="0.25">
      <c r="A83" t="s">
        <v>3</v>
      </c>
      <c r="B83" s="1">
        <v>45573</v>
      </c>
      <c r="C83" s="1"/>
      <c r="D83" s="6">
        <f t="shared" si="21"/>
        <v>-6</v>
      </c>
      <c r="E83">
        <f t="shared" si="22"/>
        <v>0</v>
      </c>
      <c r="F83">
        <f t="shared" si="22"/>
        <v>0</v>
      </c>
      <c r="G83">
        <f t="shared" si="22"/>
        <v>0</v>
      </c>
      <c r="H83">
        <f t="shared" si="22"/>
        <v>-1</v>
      </c>
      <c r="I83">
        <f t="shared" si="22"/>
        <v>0</v>
      </c>
      <c r="J83">
        <f t="shared" si="22"/>
        <v>0</v>
      </c>
      <c r="K83">
        <f t="shared" si="22"/>
        <v>0</v>
      </c>
      <c r="L83">
        <f t="shared" si="22"/>
        <v>-2</v>
      </c>
      <c r="M83">
        <f t="shared" si="22"/>
        <v>0</v>
      </c>
      <c r="N83">
        <f t="shared" si="23"/>
        <v>0</v>
      </c>
      <c r="O83">
        <f t="shared" si="23"/>
        <v>0</v>
      </c>
      <c r="P83">
        <f t="shared" si="25"/>
        <v>0</v>
      </c>
      <c r="Q83">
        <f t="shared" si="24"/>
        <v>-4</v>
      </c>
      <c r="R83">
        <f t="shared" si="24"/>
        <v>1</v>
      </c>
      <c r="S83">
        <f t="shared" si="24"/>
        <v>0</v>
      </c>
      <c r="T83">
        <f t="shared" si="24"/>
        <v>0</v>
      </c>
    </row>
    <row r="84" spans="1:20" x14ac:dyDescent="0.25">
      <c r="A84" t="s">
        <v>4</v>
      </c>
      <c r="B84" s="1">
        <v>45574</v>
      </c>
      <c r="C84" s="1"/>
      <c r="D84" s="6">
        <f t="shared" si="21"/>
        <v>-6</v>
      </c>
      <c r="E84">
        <f t="shared" si="22"/>
        <v>0</v>
      </c>
      <c r="F84">
        <f t="shared" si="22"/>
        <v>0</v>
      </c>
      <c r="G84">
        <f t="shared" si="22"/>
        <v>0</v>
      </c>
      <c r="H84">
        <f t="shared" si="22"/>
        <v>-1</v>
      </c>
      <c r="I84">
        <f t="shared" si="22"/>
        <v>0</v>
      </c>
      <c r="J84">
        <f t="shared" si="22"/>
        <v>0</v>
      </c>
      <c r="K84">
        <f t="shared" si="22"/>
        <v>0</v>
      </c>
      <c r="L84">
        <f t="shared" si="22"/>
        <v>-2</v>
      </c>
      <c r="M84">
        <f t="shared" si="22"/>
        <v>0</v>
      </c>
      <c r="N84">
        <f t="shared" si="23"/>
        <v>0</v>
      </c>
      <c r="O84">
        <f t="shared" si="23"/>
        <v>0</v>
      </c>
      <c r="P84">
        <f t="shared" si="25"/>
        <v>0</v>
      </c>
      <c r="Q84">
        <f t="shared" si="24"/>
        <v>-4</v>
      </c>
      <c r="R84">
        <f t="shared" si="24"/>
        <v>1</v>
      </c>
      <c r="S84">
        <f t="shared" si="24"/>
        <v>0</v>
      </c>
      <c r="T84">
        <f t="shared" si="24"/>
        <v>0</v>
      </c>
    </row>
    <row r="85" spans="1:20" x14ac:dyDescent="0.25">
      <c r="A85" t="s">
        <v>5</v>
      </c>
      <c r="B85" s="1">
        <v>45575</v>
      </c>
      <c r="C85" s="1"/>
      <c r="D85" s="6">
        <f t="shared" si="21"/>
        <v>-6</v>
      </c>
      <c r="E85">
        <f t="shared" si="22"/>
        <v>0</v>
      </c>
      <c r="F85">
        <f t="shared" si="22"/>
        <v>0</v>
      </c>
      <c r="G85">
        <f t="shared" si="22"/>
        <v>0</v>
      </c>
      <c r="H85">
        <f t="shared" si="22"/>
        <v>-1</v>
      </c>
      <c r="I85">
        <f t="shared" si="22"/>
        <v>0</v>
      </c>
      <c r="J85">
        <f t="shared" si="22"/>
        <v>0</v>
      </c>
      <c r="K85">
        <f t="shared" si="22"/>
        <v>0</v>
      </c>
      <c r="L85">
        <f t="shared" si="22"/>
        <v>-2</v>
      </c>
      <c r="M85">
        <f t="shared" si="22"/>
        <v>0</v>
      </c>
      <c r="N85">
        <f t="shared" si="23"/>
        <v>0</v>
      </c>
      <c r="O85">
        <f t="shared" si="23"/>
        <v>0</v>
      </c>
      <c r="P85">
        <f t="shared" si="25"/>
        <v>0</v>
      </c>
      <c r="Q85">
        <f t="shared" si="24"/>
        <v>-4</v>
      </c>
      <c r="R85">
        <f t="shared" si="24"/>
        <v>1</v>
      </c>
      <c r="S85">
        <f t="shared" si="24"/>
        <v>0</v>
      </c>
      <c r="T85">
        <f t="shared" si="24"/>
        <v>0</v>
      </c>
    </row>
    <row r="86" spans="1:20" x14ac:dyDescent="0.25">
      <c r="A86" t="s">
        <v>6</v>
      </c>
      <c r="B86" s="1">
        <v>45576</v>
      </c>
      <c r="C86" s="1"/>
      <c r="D86" s="6">
        <f t="shared" si="21"/>
        <v>-6</v>
      </c>
      <c r="E86">
        <f t="shared" si="22"/>
        <v>0</v>
      </c>
      <c r="F86">
        <f t="shared" si="22"/>
        <v>0</v>
      </c>
      <c r="G86">
        <f t="shared" si="22"/>
        <v>0</v>
      </c>
      <c r="H86">
        <f t="shared" si="22"/>
        <v>-1</v>
      </c>
      <c r="I86">
        <f t="shared" si="22"/>
        <v>0</v>
      </c>
      <c r="J86">
        <f t="shared" si="22"/>
        <v>0</v>
      </c>
      <c r="K86">
        <f t="shared" si="22"/>
        <v>0</v>
      </c>
      <c r="L86">
        <f t="shared" si="22"/>
        <v>-2</v>
      </c>
      <c r="M86">
        <f t="shared" si="22"/>
        <v>0</v>
      </c>
      <c r="N86">
        <f t="shared" si="23"/>
        <v>0</v>
      </c>
      <c r="O86">
        <f t="shared" si="23"/>
        <v>0</v>
      </c>
      <c r="P86">
        <f t="shared" si="25"/>
        <v>0</v>
      </c>
      <c r="Q86">
        <f t="shared" si="24"/>
        <v>-4</v>
      </c>
      <c r="R86">
        <f t="shared" si="24"/>
        <v>1</v>
      </c>
      <c r="S86">
        <f t="shared" si="24"/>
        <v>0</v>
      </c>
      <c r="T86">
        <f t="shared" si="24"/>
        <v>0</v>
      </c>
    </row>
    <row r="87" spans="1:20" x14ac:dyDescent="0.25">
      <c r="A87" t="s">
        <v>7</v>
      </c>
      <c r="B87" s="1">
        <v>45577</v>
      </c>
      <c r="C87" s="1"/>
      <c r="D87" s="6">
        <f t="shared" si="21"/>
        <v>-6</v>
      </c>
      <c r="E87">
        <f t="shared" si="22"/>
        <v>0</v>
      </c>
      <c r="F87">
        <f t="shared" si="22"/>
        <v>0</v>
      </c>
      <c r="G87">
        <f t="shared" si="22"/>
        <v>0</v>
      </c>
      <c r="H87">
        <f t="shared" si="22"/>
        <v>-1</v>
      </c>
      <c r="I87">
        <f t="shared" si="22"/>
        <v>0</v>
      </c>
      <c r="J87">
        <f t="shared" si="22"/>
        <v>0</v>
      </c>
      <c r="K87">
        <f t="shared" si="22"/>
        <v>0</v>
      </c>
      <c r="L87">
        <f t="shared" si="22"/>
        <v>-2</v>
      </c>
      <c r="M87">
        <f t="shared" si="22"/>
        <v>0</v>
      </c>
      <c r="N87">
        <f t="shared" si="23"/>
        <v>0</v>
      </c>
      <c r="O87">
        <f t="shared" si="23"/>
        <v>0</v>
      </c>
      <c r="P87">
        <f t="shared" si="25"/>
        <v>0</v>
      </c>
      <c r="Q87">
        <f t="shared" si="24"/>
        <v>-4</v>
      </c>
      <c r="R87">
        <f t="shared" si="24"/>
        <v>1</v>
      </c>
      <c r="S87">
        <f t="shared" si="24"/>
        <v>0</v>
      </c>
      <c r="T87">
        <f t="shared" si="24"/>
        <v>0</v>
      </c>
    </row>
    <row r="88" spans="1:20" x14ac:dyDescent="0.25">
      <c r="A88" t="s">
        <v>8</v>
      </c>
      <c r="B88" s="1">
        <v>45578</v>
      </c>
      <c r="C88" s="1"/>
      <c r="D88" s="6">
        <f t="shared" si="21"/>
        <v>-6</v>
      </c>
      <c r="E88">
        <f t="shared" si="22"/>
        <v>0</v>
      </c>
      <c r="F88">
        <f t="shared" si="22"/>
        <v>0</v>
      </c>
      <c r="G88">
        <f t="shared" si="22"/>
        <v>0</v>
      </c>
      <c r="H88">
        <f t="shared" si="22"/>
        <v>-1</v>
      </c>
      <c r="I88">
        <f t="shared" si="22"/>
        <v>0</v>
      </c>
      <c r="J88">
        <f t="shared" si="22"/>
        <v>0</v>
      </c>
      <c r="K88">
        <f t="shared" si="22"/>
        <v>0</v>
      </c>
      <c r="L88">
        <f t="shared" si="22"/>
        <v>-2</v>
      </c>
      <c r="M88">
        <f t="shared" si="22"/>
        <v>0</v>
      </c>
      <c r="N88">
        <f t="shared" si="23"/>
        <v>0</v>
      </c>
      <c r="O88">
        <f t="shared" si="23"/>
        <v>0</v>
      </c>
      <c r="P88">
        <f t="shared" si="25"/>
        <v>0</v>
      </c>
      <c r="Q88">
        <f t="shared" si="24"/>
        <v>-4</v>
      </c>
      <c r="R88">
        <f t="shared" si="24"/>
        <v>1</v>
      </c>
      <c r="S88">
        <f t="shared" si="24"/>
        <v>0</v>
      </c>
      <c r="T88">
        <f t="shared" si="24"/>
        <v>0</v>
      </c>
    </row>
    <row r="89" spans="1:20" x14ac:dyDescent="0.25">
      <c r="A89" t="s">
        <v>2</v>
      </c>
      <c r="B89" s="1">
        <v>45579</v>
      </c>
      <c r="C89" s="1"/>
      <c r="D89" s="6">
        <f t="shared" si="21"/>
        <v>-6</v>
      </c>
      <c r="E89">
        <f t="shared" si="22"/>
        <v>0</v>
      </c>
      <c r="F89">
        <f t="shared" si="22"/>
        <v>0</v>
      </c>
      <c r="G89">
        <f t="shared" si="22"/>
        <v>0</v>
      </c>
      <c r="H89">
        <f t="shared" si="22"/>
        <v>-1</v>
      </c>
      <c r="I89">
        <f t="shared" si="22"/>
        <v>0</v>
      </c>
      <c r="J89">
        <f t="shared" si="22"/>
        <v>0</v>
      </c>
      <c r="K89">
        <f t="shared" si="22"/>
        <v>0</v>
      </c>
      <c r="L89">
        <f t="shared" si="22"/>
        <v>-2</v>
      </c>
      <c r="M89">
        <f t="shared" si="22"/>
        <v>0</v>
      </c>
      <c r="N89">
        <f t="shared" si="23"/>
        <v>0</v>
      </c>
      <c r="O89">
        <f t="shared" si="23"/>
        <v>0</v>
      </c>
      <c r="P89">
        <f t="shared" si="25"/>
        <v>0</v>
      </c>
      <c r="Q89">
        <f t="shared" si="24"/>
        <v>-4</v>
      </c>
      <c r="R89">
        <f t="shared" si="24"/>
        <v>1</v>
      </c>
      <c r="S89">
        <f t="shared" si="24"/>
        <v>0</v>
      </c>
      <c r="T89">
        <f t="shared" si="24"/>
        <v>0</v>
      </c>
    </row>
    <row r="90" spans="1:20" x14ac:dyDescent="0.25">
      <c r="A90" t="s">
        <v>3</v>
      </c>
      <c r="B90" s="1">
        <v>45580</v>
      </c>
      <c r="C90" s="1"/>
      <c r="D90" s="6">
        <f t="shared" si="21"/>
        <v>-6</v>
      </c>
      <c r="E90">
        <f t="shared" si="22"/>
        <v>0</v>
      </c>
      <c r="F90">
        <f t="shared" si="22"/>
        <v>0</v>
      </c>
      <c r="G90">
        <f t="shared" si="22"/>
        <v>0</v>
      </c>
      <c r="H90">
        <f t="shared" si="22"/>
        <v>-1</v>
      </c>
      <c r="I90">
        <f t="shared" si="22"/>
        <v>0</v>
      </c>
      <c r="J90">
        <f t="shared" si="22"/>
        <v>0</v>
      </c>
      <c r="K90">
        <f t="shared" si="22"/>
        <v>0</v>
      </c>
      <c r="L90">
        <f t="shared" si="22"/>
        <v>-2</v>
      </c>
      <c r="M90">
        <f t="shared" si="22"/>
        <v>0</v>
      </c>
      <c r="N90">
        <f t="shared" si="23"/>
        <v>0</v>
      </c>
      <c r="O90">
        <f t="shared" si="23"/>
        <v>0</v>
      </c>
      <c r="P90">
        <f t="shared" si="25"/>
        <v>0</v>
      </c>
      <c r="Q90">
        <f t="shared" si="24"/>
        <v>-4</v>
      </c>
      <c r="R90">
        <f t="shared" si="24"/>
        <v>1</v>
      </c>
      <c r="S90">
        <f t="shared" si="24"/>
        <v>0</v>
      </c>
      <c r="T90">
        <f t="shared" si="24"/>
        <v>0</v>
      </c>
    </row>
    <row r="91" spans="1:20" x14ac:dyDescent="0.25">
      <c r="A91" t="s">
        <v>4</v>
      </c>
      <c r="B91" s="1">
        <v>45581</v>
      </c>
      <c r="C91" s="1"/>
      <c r="D91" s="6">
        <f t="shared" si="21"/>
        <v>-6</v>
      </c>
      <c r="E91">
        <f t="shared" si="22"/>
        <v>0</v>
      </c>
      <c r="F91">
        <f t="shared" si="22"/>
        <v>0</v>
      </c>
      <c r="G91">
        <f t="shared" si="22"/>
        <v>0</v>
      </c>
      <c r="H91">
        <f t="shared" si="22"/>
        <v>-1</v>
      </c>
      <c r="I91">
        <f t="shared" si="22"/>
        <v>0</v>
      </c>
      <c r="J91">
        <f t="shared" si="22"/>
        <v>0</v>
      </c>
      <c r="K91">
        <f t="shared" si="22"/>
        <v>0</v>
      </c>
      <c r="L91">
        <f t="shared" si="22"/>
        <v>-2</v>
      </c>
      <c r="M91">
        <f t="shared" si="22"/>
        <v>0</v>
      </c>
      <c r="N91">
        <f t="shared" si="23"/>
        <v>0</v>
      </c>
      <c r="O91">
        <f t="shared" si="23"/>
        <v>0</v>
      </c>
      <c r="P91">
        <f t="shared" si="25"/>
        <v>0</v>
      </c>
      <c r="Q91">
        <f t="shared" si="24"/>
        <v>-4</v>
      </c>
      <c r="R91">
        <f t="shared" si="24"/>
        <v>1</v>
      </c>
      <c r="S91">
        <f t="shared" si="24"/>
        <v>0</v>
      </c>
      <c r="T91">
        <f t="shared" si="24"/>
        <v>0</v>
      </c>
    </row>
    <row r="92" spans="1:20" x14ac:dyDescent="0.25">
      <c r="A92" t="s">
        <v>5</v>
      </c>
      <c r="B92" s="1">
        <v>45582</v>
      </c>
      <c r="C92" s="1"/>
      <c r="D92" s="6">
        <f t="shared" si="21"/>
        <v>-6</v>
      </c>
      <c r="E92">
        <f t="shared" si="22"/>
        <v>0</v>
      </c>
      <c r="F92">
        <f t="shared" si="22"/>
        <v>0</v>
      </c>
      <c r="G92">
        <f t="shared" si="22"/>
        <v>0</v>
      </c>
      <c r="H92">
        <f t="shared" si="22"/>
        <v>-1</v>
      </c>
      <c r="I92">
        <f t="shared" si="22"/>
        <v>0</v>
      </c>
      <c r="J92">
        <f t="shared" si="22"/>
        <v>0</v>
      </c>
      <c r="K92">
        <f t="shared" si="22"/>
        <v>0</v>
      </c>
      <c r="L92">
        <f t="shared" si="22"/>
        <v>-2</v>
      </c>
      <c r="M92">
        <f t="shared" si="22"/>
        <v>0</v>
      </c>
      <c r="N92">
        <f t="shared" si="23"/>
        <v>0</v>
      </c>
      <c r="O92">
        <f t="shared" si="23"/>
        <v>0</v>
      </c>
      <c r="P92">
        <f t="shared" si="25"/>
        <v>0</v>
      </c>
      <c r="Q92">
        <f t="shared" si="24"/>
        <v>-4</v>
      </c>
      <c r="R92">
        <f t="shared" si="24"/>
        <v>1</v>
      </c>
      <c r="S92">
        <f t="shared" si="24"/>
        <v>0</v>
      </c>
      <c r="T92">
        <f t="shared" si="24"/>
        <v>0</v>
      </c>
    </row>
    <row r="93" spans="1:20" x14ac:dyDescent="0.25">
      <c r="A93" t="s">
        <v>6</v>
      </c>
      <c r="B93" s="1">
        <v>45583</v>
      </c>
      <c r="C93" s="1"/>
      <c r="D93" s="6">
        <f t="shared" si="21"/>
        <v>-6</v>
      </c>
      <c r="E93">
        <f t="shared" ref="E93:O106" si="26">(E92-E19)+E130+E168</f>
        <v>0</v>
      </c>
      <c r="F93">
        <f t="shared" si="26"/>
        <v>0</v>
      </c>
      <c r="G93">
        <f t="shared" si="26"/>
        <v>0</v>
      </c>
      <c r="H93">
        <f t="shared" si="26"/>
        <v>-1</v>
      </c>
      <c r="I93">
        <f t="shared" si="26"/>
        <v>0</v>
      </c>
      <c r="J93">
        <f t="shared" si="26"/>
        <v>0</v>
      </c>
      <c r="K93">
        <f t="shared" si="26"/>
        <v>0</v>
      </c>
      <c r="L93">
        <f t="shared" si="26"/>
        <v>-2</v>
      </c>
      <c r="M93">
        <f t="shared" si="26"/>
        <v>0</v>
      </c>
      <c r="N93">
        <f t="shared" si="26"/>
        <v>0</v>
      </c>
      <c r="O93">
        <f t="shared" si="26"/>
        <v>0</v>
      </c>
      <c r="P93">
        <f t="shared" si="25"/>
        <v>0</v>
      </c>
      <c r="Q93">
        <f t="shared" si="25"/>
        <v>-4</v>
      </c>
      <c r="R93">
        <f t="shared" si="25"/>
        <v>1</v>
      </c>
      <c r="S93">
        <f t="shared" si="25"/>
        <v>0</v>
      </c>
      <c r="T93">
        <f t="shared" si="25"/>
        <v>0</v>
      </c>
    </row>
    <row r="94" spans="1:20" x14ac:dyDescent="0.25">
      <c r="A94" t="s">
        <v>7</v>
      </c>
      <c r="B94" s="1">
        <v>45584</v>
      </c>
      <c r="C94" s="1"/>
      <c r="D94" s="6">
        <f t="shared" si="21"/>
        <v>-6</v>
      </c>
      <c r="E94">
        <f t="shared" si="26"/>
        <v>0</v>
      </c>
      <c r="F94">
        <f t="shared" si="26"/>
        <v>0</v>
      </c>
      <c r="G94">
        <f t="shared" si="26"/>
        <v>0</v>
      </c>
      <c r="H94">
        <f t="shared" si="26"/>
        <v>-1</v>
      </c>
      <c r="I94">
        <f t="shared" si="26"/>
        <v>0</v>
      </c>
      <c r="J94">
        <f t="shared" si="26"/>
        <v>0</v>
      </c>
      <c r="K94">
        <f t="shared" si="26"/>
        <v>0</v>
      </c>
      <c r="L94">
        <f t="shared" si="26"/>
        <v>-2</v>
      </c>
      <c r="M94">
        <f t="shared" si="26"/>
        <v>0</v>
      </c>
      <c r="N94">
        <f t="shared" si="26"/>
        <v>0</v>
      </c>
      <c r="O94">
        <f t="shared" si="26"/>
        <v>0</v>
      </c>
      <c r="P94">
        <f t="shared" si="25"/>
        <v>0</v>
      </c>
      <c r="Q94">
        <f t="shared" si="25"/>
        <v>-4</v>
      </c>
      <c r="R94">
        <f t="shared" si="25"/>
        <v>1</v>
      </c>
      <c r="S94">
        <f t="shared" si="25"/>
        <v>0</v>
      </c>
      <c r="T94">
        <f t="shared" si="25"/>
        <v>0</v>
      </c>
    </row>
    <row r="95" spans="1:20" x14ac:dyDescent="0.25">
      <c r="A95" t="s">
        <v>8</v>
      </c>
      <c r="B95" s="1">
        <v>45585</v>
      </c>
      <c r="C95" s="1"/>
      <c r="D95" s="6">
        <f t="shared" si="21"/>
        <v>-6</v>
      </c>
      <c r="E95">
        <f t="shared" si="26"/>
        <v>0</v>
      </c>
      <c r="F95">
        <f t="shared" si="26"/>
        <v>0</v>
      </c>
      <c r="G95">
        <f t="shared" si="26"/>
        <v>0</v>
      </c>
      <c r="H95">
        <f t="shared" si="26"/>
        <v>-1</v>
      </c>
      <c r="I95">
        <f t="shared" si="26"/>
        <v>0</v>
      </c>
      <c r="J95">
        <f t="shared" si="26"/>
        <v>0</v>
      </c>
      <c r="K95">
        <f t="shared" si="26"/>
        <v>0</v>
      </c>
      <c r="L95">
        <f t="shared" si="26"/>
        <v>-2</v>
      </c>
      <c r="M95">
        <f t="shared" si="26"/>
        <v>0</v>
      </c>
      <c r="N95">
        <f t="shared" si="26"/>
        <v>0</v>
      </c>
      <c r="O95">
        <f t="shared" si="26"/>
        <v>0</v>
      </c>
      <c r="P95">
        <f t="shared" si="25"/>
        <v>0</v>
      </c>
      <c r="Q95">
        <f t="shared" si="25"/>
        <v>-4</v>
      </c>
      <c r="R95">
        <f t="shared" si="25"/>
        <v>1</v>
      </c>
      <c r="S95">
        <f t="shared" si="25"/>
        <v>0</v>
      </c>
      <c r="T95">
        <f t="shared" si="25"/>
        <v>0</v>
      </c>
    </row>
    <row r="96" spans="1:20" x14ac:dyDescent="0.25">
      <c r="A96" t="s">
        <v>2</v>
      </c>
      <c r="B96" s="1">
        <v>45586</v>
      </c>
      <c r="C96" s="1"/>
      <c r="D96" s="6">
        <f t="shared" si="21"/>
        <v>-6</v>
      </c>
      <c r="E96">
        <f t="shared" si="26"/>
        <v>0</v>
      </c>
      <c r="F96">
        <f t="shared" si="26"/>
        <v>0</v>
      </c>
      <c r="G96">
        <f t="shared" si="26"/>
        <v>0</v>
      </c>
      <c r="H96">
        <f t="shared" si="26"/>
        <v>-1</v>
      </c>
      <c r="I96">
        <f t="shared" si="26"/>
        <v>0</v>
      </c>
      <c r="J96">
        <f t="shared" si="26"/>
        <v>0</v>
      </c>
      <c r="K96">
        <f t="shared" si="26"/>
        <v>0</v>
      </c>
      <c r="L96">
        <f t="shared" si="26"/>
        <v>-2</v>
      </c>
      <c r="M96">
        <f t="shared" si="26"/>
        <v>0</v>
      </c>
      <c r="N96">
        <f t="shared" si="26"/>
        <v>0</v>
      </c>
      <c r="O96">
        <f t="shared" si="26"/>
        <v>0</v>
      </c>
      <c r="P96">
        <f t="shared" si="25"/>
        <v>0</v>
      </c>
      <c r="Q96">
        <f t="shared" si="25"/>
        <v>-4</v>
      </c>
      <c r="R96">
        <f t="shared" si="25"/>
        <v>1</v>
      </c>
      <c r="S96">
        <f t="shared" si="25"/>
        <v>0</v>
      </c>
      <c r="T96">
        <f t="shared" si="25"/>
        <v>0</v>
      </c>
    </row>
    <row r="97" spans="1:21" x14ac:dyDescent="0.25">
      <c r="A97" t="s">
        <v>3</v>
      </c>
      <c r="B97" s="1">
        <v>45587</v>
      </c>
      <c r="C97" s="1"/>
      <c r="D97" s="6">
        <f>SUM(E97:T97)</f>
        <v>-6</v>
      </c>
      <c r="E97">
        <f t="shared" si="26"/>
        <v>0</v>
      </c>
      <c r="F97">
        <f t="shared" si="26"/>
        <v>0</v>
      </c>
      <c r="G97">
        <f t="shared" si="26"/>
        <v>0</v>
      </c>
      <c r="H97">
        <f t="shared" si="26"/>
        <v>-1</v>
      </c>
      <c r="I97">
        <f t="shared" si="26"/>
        <v>0</v>
      </c>
      <c r="J97">
        <f t="shared" si="26"/>
        <v>0</v>
      </c>
      <c r="K97">
        <f t="shared" si="26"/>
        <v>0</v>
      </c>
      <c r="L97">
        <f t="shared" si="26"/>
        <v>-2</v>
      </c>
      <c r="M97">
        <f t="shared" si="26"/>
        <v>0</v>
      </c>
      <c r="N97">
        <f t="shared" si="26"/>
        <v>0</v>
      </c>
      <c r="O97">
        <f t="shared" si="26"/>
        <v>0</v>
      </c>
      <c r="P97">
        <f t="shared" si="25"/>
        <v>0</v>
      </c>
      <c r="Q97">
        <f t="shared" si="25"/>
        <v>-4</v>
      </c>
      <c r="R97">
        <f t="shared" si="25"/>
        <v>1</v>
      </c>
      <c r="S97">
        <f t="shared" si="25"/>
        <v>0</v>
      </c>
      <c r="T97">
        <f t="shared" si="25"/>
        <v>0</v>
      </c>
    </row>
    <row r="98" spans="1:21" x14ac:dyDescent="0.25">
      <c r="A98" t="s">
        <v>4</v>
      </c>
      <c r="B98" s="1">
        <v>45588</v>
      </c>
      <c r="C98" s="1"/>
      <c r="D98" s="6">
        <f t="shared" si="21"/>
        <v>-6</v>
      </c>
      <c r="E98">
        <f t="shared" si="26"/>
        <v>0</v>
      </c>
      <c r="F98">
        <f t="shared" si="26"/>
        <v>0</v>
      </c>
      <c r="G98">
        <f t="shared" si="26"/>
        <v>0</v>
      </c>
      <c r="H98">
        <f t="shared" si="26"/>
        <v>-1</v>
      </c>
      <c r="I98">
        <f t="shared" si="26"/>
        <v>0</v>
      </c>
      <c r="J98">
        <f t="shared" si="26"/>
        <v>0</v>
      </c>
      <c r="K98">
        <f t="shared" si="26"/>
        <v>0</v>
      </c>
      <c r="L98">
        <f t="shared" si="26"/>
        <v>-2</v>
      </c>
      <c r="M98">
        <f t="shared" si="26"/>
        <v>0</v>
      </c>
      <c r="N98">
        <f t="shared" si="26"/>
        <v>0</v>
      </c>
      <c r="O98">
        <f t="shared" si="26"/>
        <v>0</v>
      </c>
      <c r="P98">
        <f t="shared" si="25"/>
        <v>0</v>
      </c>
      <c r="Q98">
        <f t="shared" si="25"/>
        <v>-4</v>
      </c>
      <c r="R98">
        <f t="shared" si="25"/>
        <v>1</v>
      </c>
      <c r="S98">
        <f t="shared" si="25"/>
        <v>0</v>
      </c>
      <c r="T98">
        <f t="shared" si="25"/>
        <v>0</v>
      </c>
    </row>
    <row r="99" spans="1:21" x14ac:dyDescent="0.25">
      <c r="A99" t="s">
        <v>5</v>
      </c>
      <c r="B99" s="1">
        <v>45589</v>
      </c>
      <c r="C99" s="1"/>
      <c r="D99" s="6">
        <f t="shared" si="21"/>
        <v>-6</v>
      </c>
      <c r="E99">
        <f t="shared" si="26"/>
        <v>0</v>
      </c>
      <c r="F99">
        <f t="shared" si="26"/>
        <v>0</v>
      </c>
      <c r="G99">
        <f t="shared" si="26"/>
        <v>0</v>
      </c>
      <c r="H99">
        <f t="shared" si="26"/>
        <v>-1</v>
      </c>
      <c r="I99">
        <f t="shared" si="26"/>
        <v>0</v>
      </c>
      <c r="J99">
        <f t="shared" si="26"/>
        <v>0</v>
      </c>
      <c r="K99">
        <f t="shared" si="26"/>
        <v>0</v>
      </c>
      <c r="L99">
        <f t="shared" si="26"/>
        <v>-2</v>
      </c>
      <c r="M99">
        <f t="shared" si="26"/>
        <v>0</v>
      </c>
      <c r="N99">
        <f t="shared" si="26"/>
        <v>0</v>
      </c>
      <c r="O99">
        <f t="shared" si="26"/>
        <v>0</v>
      </c>
      <c r="P99">
        <f t="shared" si="25"/>
        <v>0</v>
      </c>
      <c r="Q99">
        <f t="shared" si="25"/>
        <v>-4</v>
      </c>
      <c r="R99">
        <f t="shared" si="25"/>
        <v>1</v>
      </c>
      <c r="S99">
        <f t="shared" si="25"/>
        <v>0</v>
      </c>
      <c r="T99">
        <f t="shared" si="25"/>
        <v>0</v>
      </c>
    </row>
    <row r="100" spans="1:21" x14ac:dyDescent="0.25">
      <c r="A100" t="s">
        <v>6</v>
      </c>
      <c r="B100" s="1">
        <v>45590</v>
      </c>
      <c r="C100" s="1"/>
      <c r="D100" s="6">
        <f t="shared" si="21"/>
        <v>-6</v>
      </c>
      <c r="E100">
        <f t="shared" si="26"/>
        <v>0</v>
      </c>
      <c r="F100">
        <f t="shared" si="26"/>
        <v>0</v>
      </c>
      <c r="G100">
        <f t="shared" si="26"/>
        <v>0</v>
      </c>
      <c r="H100">
        <f t="shared" si="26"/>
        <v>-1</v>
      </c>
      <c r="I100">
        <f t="shared" si="26"/>
        <v>0</v>
      </c>
      <c r="J100">
        <f t="shared" si="26"/>
        <v>0</v>
      </c>
      <c r="K100">
        <f t="shared" si="26"/>
        <v>0</v>
      </c>
      <c r="L100">
        <f t="shared" si="26"/>
        <v>-2</v>
      </c>
      <c r="M100">
        <f t="shared" si="26"/>
        <v>0</v>
      </c>
      <c r="N100">
        <f t="shared" si="26"/>
        <v>0</v>
      </c>
      <c r="O100">
        <f t="shared" si="26"/>
        <v>0</v>
      </c>
      <c r="P100">
        <f t="shared" si="25"/>
        <v>0</v>
      </c>
      <c r="Q100">
        <f t="shared" si="25"/>
        <v>-4</v>
      </c>
      <c r="R100">
        <f t="shared" si="25"/>
        <v>1</v>
      </c>
      <c r="S100">
        <f t="shared" si="25"/>
        <v>0</v>
      </c>
      <c r="T100">
        <f t="shared" si="25"/>
        <v>0</v>
      </c>
    </row>
    <row r="101" spans="1:21" x14ac:dyDescent="0.25">
      <c r="A101" t="s">
        <v>7</v>
      </c>
      <c r="B101" s="1">
        <v>45591</v>
      </c>
      <c r="C101" s="1"/>
      <c r="D101" s="6">
        <f t="shared" si="21"/>
        <v>-6</v>
      </c>
      <c r="E101">
        <f t="shared" si="26"/>
        <v>0</v>
      </c>
      <c r="F101">
        <f t="shared" si="26"/>
        <v>0</v>
      </c>
      <c r="G101">
        <f t="shared" si="26"/>
        <v>0</v>
      </c>
      <c r="H101">
        <f t="shared" si="26"/>
        <v>-1</v>
      </c>
      <c r="I101">
        <f t="shared" si="26"/>
        <v>0</v>
      </c>
      <c r="J101">
        <f t="shared" si="26"/>
        <v>0</v>
      </c>
      <c r="K101">
        <f t="shared" si="26"/>
        <v>0</v>
      </c>
      <c r="L101">
        <f t="shared" si="26"/>
        <v>-2</v>
      </c>
      <c r="M101">
        <f t="shared" si="26"/>
        <v>0</v>
      </c>
      <c r="N101">
        <f t="shared" si="26"/>
        <v>0</v>
      </c>
      <c r="O101">
        <f t="shared" si="26"/>
        <v>0</v>
      </c>
      <c r="P101">
        <f t="shared" si="25"/>
        <v>0</v>
      </c>
      <c r="Q101">
        <f t="shared" si="25"/>
        <v>-4</v>
      </c>
      <c r="R101">
        <f t="shared" si="25"/>
        <v>1</v>
      </c>
      <c r="S101">
        <f t="shared" si="25"/>
        <v>0</v>
      </c>
      <c r="T101">
        <f t="shared" si="25"/>
        <v>0</v>
      </c>
    </row>
    <row r="102" spans="1:21" x14ac:dyDescent="0.25">
      <c r="A102" t="s">
        <v>8</v>
      </c>
      <c r="B102" s="1">
        <v>45592</v>
      </c>
      <c r="C102" s="1"/>
      <c r="D102" s="6">
        <f t="shared" si="21"/>
        <v>-6</v>
      </c>
      <c r="E102">
        <f t="shared" si="26"/>
        <v>0</v>
      </c>
      <c r="F102">
        <f t="shared" si="26"/>
        <v>0</v>
      </c>
      <c r="G102">
        <f t="shared" si="26"/>
        <v>0</v>
      </c>
      <c r="H102">
        <f t="shared" si="26"/>
        <v>-1</v>
      </c>
      <c r="I102">
        <f t="shared" si="26"/>
        <v>0</v>
      </c>
      <c r="J102">
        <f t="shared" si="26"/>
        <v>0</v>
      </c>
      <c r="K102">
        <f t="shared" si="26"/>
        <v>0</v>
      </c>
      <c r="L102">
        <f t="shared" si="26"/>
        <v>-2</v>
      </c>
      <c r="M102">
        <f t="shared" si="26"/>
        <v>0</v>
      </c>
      <c r="N102">
        <f t="shared" si="26"/>
        <v>0</v>
      </c>
      <c r="O102">
        <f t="shared" si="26"/>
        <v>0</v>
      </c>
      <c r="P102">
        <f t="shared" si="25"/>
        <v>0</v>
      </c>
      <c r="Q102">
        <f t="shared" si="25"/>
        <v>-4</v>
      </c>
      <c r="R102">
        <f t="shared" si="25"/>
        <v>1</v>
      </c>
      <c r="S102">
        <f t="shared" si="25"/>
        <v>0</v>
      </c>
      <c r="T102">
        <f t="shared" si="25"/>
        <v>0</v>
      </c>
    </row>
    <row r="103" spans="1:21" x14ac:dyDescent="0.25">
      <c r="A103" t="s">
        <v>2</v>
      </c>
      <c r="B103" s="1">
        <v>45593</v>
      </c>
      <c r="C103" s="1"/>
      <c r="D103" s="6">
        <f t="shared" si="21"/>
        <v>-6</v>
      </c>
      <c r="E103">
        <f t="shared" si="26"/>
        <v>0</v>
      </c>
      <c r="F103">
        <f t="shared" si="26"/>
        <v>0</v>
      </c>
      <c r="G103">
        <f t="shared" si="26"/>
        <v>0</v>
      </c>
      <c r="H103">
        <f t="shared" si="26"/>
        <v>-1</v>
      </c>
      <c r="I103">
        <f t="shared" si="26"/>
        <v>0</v>
      </c>
      <c r="J103">
        <f t="shared" si="26"/>
        <v>0</v>
      </c>
      <c r="K103">
        <f t="shared" si="26"/>
        <v>0</v>
      </c>
      <c r="L103">
        <f t="shared" si="26"/>
        <v>-2</v>
      </c>
      <c r="M103">
        <f t="shared" si="26"/>
        <v>0</v>
      </c>
      <c r="N103">
        <f t="shared" si="26"/>
        <v>0</v>
      </c>
      <c r="O103">
        <f t="shared" si="26"/>
        <v>0</v>
      </c>
      <c r="P103">
        <f t="shared" si="25"/>
        <v>0</v>
      </c>
      <c r="Q103">
        <f t="shared" si="25"/>
        <v>-4</v>
      </c>
      <c r="R103">
        <f t="shared" si="25"/>
        <v>1</v>
      </c>
      <c r="S103">
        <f t="shared" si="25"/>
        <v>0</v>
      </c>
      <c r="T103">
        <f t="shared" si="25"/>
        <v>0</v>
      </c>
    </row>
    <row r="104" spans="1:21" x14ac:dyDescent="0.25">
      <c r="A104" t="s">
        <v>3</v>
      </c>
      <c r="B104" s="1">
        <v>45594</v>
      </c>
      <c r="C104" s="1"/>
      <c r="D104" s="6">
        <f t="shared" si="21"/>
        <v>-6</v>
      </c>
      <c r="E104">
        <f t="shared" si="26"/>
        <v>0</v>
      </c>
      <c r="F104">
        <f t="shared" si="26"/>
        <v>0</v>
      </c>
      <c r="G104">
        <f t="shared" si="26"/>
        <v>0</v>
      </c>
      <c r="H104">
        <f t="shared" si="26"/>
        <v>-1</v>
      </c>
      <c r="I104">
        <f t="shared" si="26"/>
        <v>0</v>
      </c>
      <c r="J104">
        <f t="shared" si="26"/>
        <v>0</v>
      </c>
      <c r="K104">
        <f t="shared" si="26"/>
        <v>0</v>
      </c>
      <c r="L104">
        <f t="shared" si="26"/>
        <v>-2</v>
      </c>
      <c r="M104">
        <f t="shared" si="26"/>
        <v>0</v>
      </c>
      <c r="N104">
        <f t="shared" si="26"/>
        <v>0</v>
      </c>
      <c r="O104">
        <f t="shared" si="26"/>
        <v>0</v>
      </c>
      <c r="P104">
        <f t="shared" si="25"/>
        <v>0</v>
      </c>
      <c r="Q104">
        <f t="shared" si="25"/>
        <v>-4</v>
      </c>
      <c r="R104">
        <f t="shared" si="25"/>
        <v>1</v>
      </c>
      <c r="S104">
        <f t="shared" si="25"/>
        <v>0</v>
      </c>
      <c r="T104">
        <f t="shared" si="25"/>
        <v>0</v>
      </c>
    </row>
    <row r="105" spans="1:21" x14ac:dyDescent="0.25">
      <c r="A105" t="s">
        <v>4</v>
      </c>
      <c r="B105" s="1">
        <v>45595</v>
      </c>
      <c r="C105" s="1"/>
      <c r="D105" s="6">
        <f t="shared" si="21"/>
        <v>-6</v>
      </c>
      <c r="E105">
        <f t="shared" si="26"/>
        <v>0</v>
      </c>
      <c r="F105">
        <f t="shared" si="26"/>
        <v>0</v>
      </c>
      <c r="G105">
        <f t="shared" si="26"/>
        <v>0</v>
      </c>
      <c r="H105">
        <f t="shared" si="26"/>
        <v>-1</v>
      </c>
      <c r="I105">
        <f t="shared" si="26"/>
        <v>0</v>
      </c>
      <c r="J105">
        <f t="shared" si="26"/>
        <v>0</v>
      </c>
      <c r="K105">
        <f t="shared" si="26"/>
        <v>0</v>
      </c>
      <c r="L105">
        <f t="shared" si="26"/>
        <v>-2</v>
      </c>
      <c r="M105">
        <f t="shared" si="26"/>
        <v>0</v>
      </c>
      <c r="N105">
        <f t="shared" si="26"/>
        <v>0</v>
      </c>
      <c r="O105">
        <f t="shared" si="26"/>
        <v>0</v>
      </c>
      <c r="P105">
        <f t="shared" si="25"/>
        <v>0</v>
      </c>
      <c r="Q105">
        <f t="shared" si="25"/>
        <v>-4</v>
      </c>
      <c r="R105">
        <f t="shared" si="25"/>
        <v>1</v>
      </c>
      <c r="S105">
        <f t="shared" si="25"/>
        <v>0</v>
      </c>
      <c r="T105">
        <f t="shared" si="25"/>
        <v>0</v>
      </c>
    </row>
    <row r="106" spans="1:21" x14ac:dyDescent="0.25">
      <c r="A106" t="s">
        <v>5</v>
      </c>
      <c r="B106" s="1">
        <v>45596</v>
      </c>
      <c r="C106" s="1"/>
      <c r="D106" s="6">
        <f t="shared" si="21"/>
        <v>-6</v>
      </c>
      <c r="E106">
        <f t="shared" si="26"/>
        <v>0</v>
      </c>
      <c r="F106">
        <f t="shared" si="26"/>
        <v>0</v>
      </c>
      <c r="G106">
        <f t="shared" si="26"/>
        <v>0</v>
      </c>
      <c r="H106">
        <f t="shared" si="26"/>
        <v>-1</v>
      </c>
      <c r="I106">
        <f t="shared" si="26"/>
        <v>0</v>
      </c>
      <c r="J106">
        <f t="shared" si="26"/>
        <v>0</v>
      </c>
      <c r="K106">
        <f t="shared" si="26"/>
        <v>0</v>
      </c>
      <c r="L106">
        <f t="shared" si="26"/>
        <v>-2</v>
      </c>
      <c r="M106">
        <f t="shared" si="26"/>
        <v>0</v>
      </c>
      <c r="N106">
        <f t="shared" si="26"/>
        <v>0</v>
      </c>
      <c r="O106">
        <f t="shared" si="26"/>
        <v>0</v>
      </c>
      <c r="P106">
        <f t="shared" si="25"/>
        <v>0</v>
      </c>
      <c r="Q106">
        <f t="shared" si="25"/>
        <v>-4</v>
      </c>
      <c r="R106">
        <f t="shared" si="25"/>
        <v>1</v>
      </c>
      <c r="S106">
        <f t="shared" si="25"/>
        <v>0</v>
      </c>
      <c r="T106">
        <f t="shared" si="25"/>
        <v>0</v>
      </c>
    </row>
    <row r="108" spans="1:21" x14ac:dyDescent="0.25">
      <c r="A108" s="9"/>
      <c r="B108" s="9"/>
      <c r="C108" s="9"/>
      <c r="D108" s="9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</row>
    <row r="111" spans="1:21" x14ac:dyDescent="0.25">
      <c r="A111" s="96" t="s">
        <v>33</v>
      </c>
      <c r="B111" s="96"/>
      <c r="C111" s="15"/>
    </row>
    <row r="112" spans="1:21" x14ac:dyDescent="0.25">
      <c r="A112" t="s">
        <v>0</v>
      </c>
      <c r="B112" t="s">
        <v>1</v>
      </c>
      <c r="D112" s="5" t="s">
        <v>32</v>
      </c>
      <c r="E112" t="s">
        <v>9</v>
      </c>
      <c r="F112" t="s">
        <v>10</v>
      </c>
      <c r="G112" t="s">
        <v>11</v>
      </c>
      <c r="H112" t="s">
        <v>12</v>
      </c>
      <c r="I112" t="s">
        <v>13</v>
      </c>
      <c r="J112" t="s">
        <v>14</v>
      </c>
      <c r="K112" t="s">
        <v>15</v>
      </c>
      <c r="L112" t="s">
        <v>16</v>
      </c>
      <c r="M112" t="s">
        <v>17</v>
      </c>
      <c r="N112" t="s">
        <v>18</v>
      </c>
      <c r="O112" t="s">
        <v>19</v>
      </c>
      <c r="P112" t="s">
        <v>20</v>
      </c>
      <c r="Q112" t="s">
        <v>21</v>
      </c>
      <c r="R112" t="s">
        <v>22</v>
      </c>
      <c r="S112" t="s">
        <v>23</v>
      </c>
      <c r="T112" t="s">
        <v>24</v>
      </c>
      <c r="U112" s="83" t="s">
        <v>73</v>
      </c>
    </row>
    <row r="113" spans="1:21" x14ac:dyDescent="0.25">
      <c r="A113" t="s">
        <v>3</v>
      </c>
      <c r="B113" s="1">
        <v>45566</v>
      </c>
      <c r="C113" s="1"/>
      <c r="D113">
        <f>SUMPRODUCT($E$38:$T$38,E113:T113)</f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 s="83">
        <f>SUM(E113:T113)</f>
        <v>0</v>
      </c>
    </row>
    <row r="114" spans="1:21" x14ac:dyDescent="0.25">
      <c r="A114" t="s">
        <v>4</v>
      </c>
      <c r="B114" s="1">
        <v>45567</v>
      </c>
      <c r="C114" s="1"/>
      <c r="D114">
        <f t="shared" ref="D114:D143" si="27">SUMPRODUCT($E$38:$T$38,E114:T114)</f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 s="83">
        <f t="shared" ref="U114:U143" si="28">SUM(E114:T114)</f>
        <v>0</v>
      </c>
    </row>
    <row r="115" spans="1:21" x14ac:dyDescent="0.25">
      <c r="A115" t="s">
        <v>5</v>
      </c>
      <c r="B115" s="1">
        <v>45568</v>
      </c>
      <c r="C115" s="1"/>
      <c r="D115">
        <f t="shared" si="27"/>
        <v>11300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1</v>
      </c>
      <c r="S115">
        <v>0</v>
      </c>
      <c r="T115">
        <v>0</v>
      </c>
      <c r="U115" s="83">
        <f t="shared" si="28"/>
        <v>4</v>
      </c>
    </row>
    <row r="116" spans="1:21" x14ac:dyDescent="0.25">
      <c r="A116" t="s">
        <v>6</v>
      </c>
      <c r="B116" s="1">
        <v>45569</v>
      </c>
      <c r="C116" s="1"/>
      <c r="D116">
        <f t="shared" si="27"/>
        <v>3300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 s="83">
        <f t="shared" si="28"/>
        <v>1</v>
      </c>
    </row>
    <row r="117" spans="1:21" x14ac:dyDescent="0.25">
      <c r="A117" t="s">
        <v>7</v>
      </c>
      <c r="B117" s="1">
        <v>45570</v>
      </c>
      <c r="C117" s="1"/>
      <c r="D117">
        <f t="shared" si="27"/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 s="83">
        <f t="shared" si="28"/>
        <v>0</v>
      </c>
    </row>
    <row r="118" spans="1:21" x14ac:dyDescent="0.25">
      <c r="A118" t="s">
        <v>8</v>
      </c>
      <c r="B118" s="1">
        <v>45571</v>
      </c>
      <c r="C118" s="1"/>
      <c r="D118">
        <f t="shared" si="27"/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 s="83">
        <f t="shared" si="28"/>
        <v>0</v>
      </c>
    </row>
    <row r="119" spans="1:21" x14ac:dyDescent="0.25">
      <c r="A119" t="s">
        <v>2</v>
      </c>
      <c r="B119" s="1">
        <v>45572</v>
      </c>
      <c r="C119" s="1"/>
      <c r="D119">
        <f t="shared" si="27"/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 s="83">
        <f t="shared" si="28"/>
        <v>0</v>
      </c>
    </row>
    <row r="120" spans="1:21" x14ac:dyDescent="0.25">
      <c r="A120" t="s">
        <v>3</v>
      </c>
      <c r="B120" s="1">
        <v>45573</v>
      </c>
      <c r="C120" s="1"/>
      <c r="D120">
        <f t="shared" si="27"/>
        <v>3500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 s="83">
        <f t="shared" si="28"/>
        <v>1</v>
      </c>
    </row>
    <row r="121" spans="1:21" x14ac:dyDescent="0.25">
      <c r="A121" t="s">
        <v>4</v>
      </c>
      <c r="B121" s="1">
        <v>45574</v>
      </c>
      <c r="C121" s="1"/>
      <c r="D121">
        <f t="shared" si="27"/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 s="83">
        <f t="shared" si="28"/>
        <v>0</v>
      </c>
    </row>
    <row r="122" spans="1:21" x14ac:dyDescent="0.25">
      <c r="A122" t="s">
        <v>5</v>
      </c>
      <c r="B122" s="1">
        <v>45575</v>
      </c>
      <c r="C122" s="1"/>
      <c r="D122">
        <f t="shared" si="27"/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 s="83">
        <f t="shared" si="28"/>
        <v>0</v>
      </c>
    </row>
    <row r="123" spans="1:21" x14ac:dyDescent="0.25">
      <c r="A123" t="s">
        <v>6</v>
      </c>
      <c r="B123" s="1">
        <v>45576</v>
      </c>
      <c r="C123" s="1"/>
      <c r="D123">
        <f t="shared" si="27"/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 s="83">
        <f t="shared" si="28"/>
        <v>0</v>
      </c>
    </row>
    <row r="124" spans="1:21" x14ac:dyDescent="0.25">
      <c r="A124" t="s">
        <v>7</v>
      </c>
      <c r="B124" s="1">
        <v>45577</v>
      </c>
      <c r="C124" s="1"/>
      <c r="D124">
        <f t="shared" si="27"/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 s="83">
        <f t="shared" si="28"/>
        <v>0</v>
      </c>
    </row>
    <row r="125" spans="1:21" x14ac:dyDescent="0.25">
      <c r="A125" t="s">
        <v>8</v>
      </c>
      <c r="B125" s="1">
        <v>45578</v>
      </c>
      <c r="C125" s="1"/>
      <c r="D125">
        <f t="shared" si="27"/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 s="83">
        <f t="shared" si="28"/>
        <v>0</v>
      </c>
    </row>
    <row r="126" spans="1:21" x14ac:dyDescent="0.25">
      <c r="A126" t="s">
        <v>2</v>
      </c>
      <c r="B126" s="1">
        <v>45579</v>
      </c>
      <c r="C126" s="1"/>
      <c r="D126">
        <f>SUMPRODUCT($E$38:$T$38,E126:T126)</f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 s="83">
        <f t="shared" si="28"/>
        <v>0</v>
      </c>
    </row>
    <row r="127" spans="1:21" x14ac:dyDescent="0.25">
      <c r="A127" t="s">
        <v>3</v>
      </c>
      <c r="B127" s="1">
        <v>45580</v>
      </c>
      <c r="C127" s="1"/>
      <c r="D127">
        <f t="shared" si="27"/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 s="83">
        <f t="shared" si="28"/>
        <v>0</v>
      </c>
    </row>
    <row r="128" spans="1:21" x14ac:dyDescent="0.25">
      <c r="A128" t="s">
        <v>4</v>
      </c>
      <c r="B128" s="1">
        <v>45581</v>
      </c>
      <c r="C128" s="1"/>
      <c r="D128">
        <f t="shared" si="27"/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 s="83">
        <f t="shared" si="28"/>
        <v>0</v>
      </c>
    </row>
    <row r="129" spans="1:21" x14ac:dyDescent="0.25">
      <c r="A129" t="s">
        <v>5</v>
      </c>
      <c r="B129" s="1">
        <v>45582</v>
      </c>
      <c r="C129" s="1"/>
      <c r="D129">
        <f>SUMPRODUCT($E$38:$T$38,E129:T129)</f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 s="83">
        <f t="shared" si="28"/>
        <v>0</v>
      </c>
    </row>
    <row r="130" spans="1:21" x14ac:dyDescent="0.25">
      <c r="A130" t="s">
        <v>6</v>
      </c>
      <c r="B130" s="1">
        <v>45583</v>
      </c>
      <c r="C130" s="1"/>
      <c r="D130">
        <f t="shared" si="27"/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s="83">
        <f t="shared" si="28"/>
        <v>0</v>
      </c>
    </row>
    <row r="131" spans="1:21" x14ac:dyDescent="0.25">
      <c r="A131" t="s">
        <v>7</v>
      </c>
      <c r="B131" s="1">
        <v>45584</v>
      </c>
      <c r="C131" s="1"/>
      <c r="D131">
        <f t="shared" si="27"/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 s="83">
        <f t="shared" si="28"/>
        <v>0</v>
      </c>
    </row>
    <row r="132" spans="1:21" x14ac:dyDescent="0.25">
      <c r="A132" t="s">
        <v>8</v>
      </c>
      <c r="B132" s="1">
        <v>45585</v>
      </c>
      <c r="C132" s="1"/>
      <c r="D132">
        <f t="shared" si="27"/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 s="83">
        <f t="shared" si="28"/>
        <v>0</v>
      </c>
    </row>
    <row r="133" spans="1:21" x14ac:dyDescent="0.25">
      <c r="A133" t="s">
        <v>2</v>
      </c>
      <c r="B133" s="1">
        <v>45586</v>
      </c>
      <c r="C133" s="1"/>
      <c r="D133">
        <f t="shared" si="27"/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 s="83">
        <f t="shared" si="28"/>
        <v>0</v>
      </c>
    </row>
    <row r="134" spans="1:21" x14ac:dyDescent="0.25">
      <c r="A134" t="s">
        <v>3</v>
      </c>
      <c r="B134" s="1">
        <v>45587</v>
      </c>
      <c r="C134" s="1"/>
      <c r="D134">
        <f t="shared" si="27"/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 s="83">
        <f t="shared" si="28"/>
        <v>0</v>
      </c>
    </row>
    <row r="135" spans="1:21" x14ac:dyDescent="0.25">
      <c r="A135" t="s">
        <v>4</v>
      </c>
      <c r="B135" s="1">
        <v>45588</v>
      </c>
      <c r="C135" s="1"/>
      <c r="D135">
        <f t="shared" si="27"/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 s="83">
        <f t="shared" si="28"/>
        <v>0</v>
      </c>
    </row>
    <row r="136" spans="1:21" x14ac:dyDescent="0.25">
      <c r="A136" t="s">
        <v>5</v>
      </c>
      <c r="B136" s="1">
        <v>45589</v>
      </c>
      <c r="C136" s="1"/>
      <c r="D136">
        <f t="shared" si="27"/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 s="83">
        <f t="shared" si="28"/>
        <v>0</v>
      </c>
    </row>
    <row r="137" spans="1:21" x14ac:dyDescent="0.25">
      <c r="A137" t="s">
        <v>6</v>
      </c>
      <c r="B137" s="1">
        <v>45590</v>
      </c>
      <c r="C137" s="1"/>
      <c r="D137">
        <f t="shared" si="27"/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 s="83">
        <f t="shared" si="28"/>
        <v>0</v>
      </c>
    </row>
    <row r="138" spans="1:21" x14ac:dyDescent="0.25">
      <c r="A138" t="s">
        <v>7</v>
      </c>
      <c r="B138" s="1">
        <v>45591</v>
      </c>
      <c r="C138" s="1"/>
      <c r="D138">
        <f t="shared" si="27"/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 s="83">
        <f t="shared" si="28"/>
        <v>0</v>
      </c>
    </row>
    <row r="139" spans="1:21" x14ac:dyDescent="0.25">
      <c r="A139" t="s">
        <v>8</v>
      </c>
      <c r="B139" s="1">
        <v>45592</v>
      </c>
      <c r="C139" s="1"/>
      <c r="D139">
        <f t="shared" si="27"/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 s="83">
        <f t="shared" si="28"/>
        <v>0</v>
      </c>
    </row>
    <row r="140" spans="1:21" x14ac:dyDescent="0.25">
      <c r="A140" t="s">
        <v>2</v>
      </c>
      <c r="B140" s="1">
        <v>45593</v>
      </c>
      <c r="C140" s="1"/>
      <c r="D140">
        <f t="shared" si="27"/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 s="83">
        <f t="shared" si="28"/>
        <v>0</v>
      </c>
    </row>
    <row r="141" spans="1:21" x14ac:dyDescent="0.25">
      <c r="A141" t="s">
        <v>3</v>
      </c>
      <c r="B141" s="1">
        <v>45594</v>
      </c>
      <c r="C141" s="1"/>
      <c r="D141">
        <f t="shared" si="27"/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 s="83">
        <f t="shared" si="28"/>
        <v>0</v>
      </c>
    </row>
    <row r="142" spans="1:21" x14ac:dyDescent="0.25">
      <c r="A142" t="s">
        <v>4</v>
      </c>
      <c r="B142" s="1">
        <v>45595</v>
      </c>
      <c r="C142" s="1"/>
      <c r="D142">
        <f t="shared" si="27"/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 s="83">
        <f t="shared" si="28"/>
        <v>0</v>
      </c>
    </row>
    <row r="143" spans="1:21" x14ac:dyDescent="0.25">
      <c r="A143" t="s">
        <v>5</v>
      </c>
      <c r="B143" s="1">
        <v>45596</v>
      </c>
      <c r="C143" s="1"/>
      <c r="D143">
        <f t="shared" si="27"/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 s="83">
        <f t="shared" si="28"/>
        <v>0</v>
      </c>
    </row>
    <row r="144" spans="1:21" x14ac:dyDescent="0.25">
      <c r="D144">
        <f>SUM(D113:D143)</f>
        <v>18100</v>
      </c>
      <c r="E144" s="94">
        <f>SUM(E113:E143)</f>
        <v>1</v>
      </c>
      <c r="F144" s="94">
        <f t="shared" ref="F144:S144" si="29">SUM(F113:F143)</f>
        <v>0</v>
      </c>
      <c r="G144" s="94">
        <f t="shared" si="29"/>
        <v>0</v>
      </c>
      <c r="H144" s="94">
        <f t="shared" si="29"/>
        <v>1</v>
      </c>
      <c r="I144" s="94">
        <f t="shared" si="29"/>
        <v>0</v>
      </c>
      <c r="J144" s="94">
        <f t="shared" si="29"/>
        <v>1</v>
      </c>
      <c r="K144" s="94">
        <f t="shared" si="29"/>
        <v>0</v>
      </c>
      <c r="L144" s="94">
        <f t="shared" si="29"/>
        <v>0</v>
      </c>
      <c r="M144" s="94">
        <f t="shared" si="29"/>
        <v>0</v>
      </c>
      <c r="N144" s="94">
        <f t="shared" si="29"/>
        <v>0</v>
      </c>
      <c r="O144" s="94">
        <f t="shared" si="29"/>
        <v>1</v>
      </c>
      <c r="P144" s="94">
        <f t="shared" si="29"/>
        <v>0</v>
      </c>
      <c r="Q144" s="94">
        <f t="shared" si="29"/>
        <v>1</v>
      </c>
      <c r="R144" s="94">
        <f t="shared" si="29"/>
        <v>1</v>
      </c>
      <c r="S144" s="94">
        <f t="shared" si="29"/>
        <v>0</v>
      </c>
      <c r="T144" s="94">
        <f>SUM(T113:T143)</f>
        <v>0</v>
      </c>
      <c r="U144" s="94">
        <f>SUM(U113:U143)</f>
        <v>6</v>
      </c>
    </row>
    <row r="149" spans="1:21" x14ac:dyDescent="0.25">
      <c r="A149" s="84" t="s">
        <v>65</v>
      </c>
    </row>
    <row r="150" spans="1:21" x14ac:dyDescent="0.25">
      <c r="A150" t="s">
        <v>0</v>
      </c>
      <c r="B150" t="s">
        <v>1</v>
      </c>
      <c r="E150" t="s">
        <v>9</v>
      </c>
      <c r="F150" t="s">
        <v>10</v>
      </c>
      <c r="G150" t="s">
        <v>11</v>
      </c>
      <c r="H150" t="s">
        <v>12</v>
      </c>
      <c r="I150" t="s">
        <v>13</v>
      </c>
      <c r="J150" t="s">
        <v>14</v>
      </c>
      <c r="K150" t="s">
        <v>15</v>
      </c>
      <c r="L150" t="s">
        <v>16</v>
      </c>
      <c r="M150" t="s">
        <v>17</v>
      </c>
      <c r="N150" t="s">
        <v>18</v>
      </c>
      <c r="O150" t="s">
        <v>19</v>
      </c>
      <c r="P150" t="s">
        <v>20</v>
      </c>
      <c r="Q150" t="s">
        <v>21</v>
      </c>
      <c r="R150" t="s">
        <v>22</v>
      </c>
      <c r="S150" t="s">
        <v>23</v>
      </c>
      <c r="T150" t="s">
        <v>24</v>
      </c>
      <c r="U150" s="82" t="s">
        <v>26</v>
      </c>
    </row>
    <row r="151" spans="1:21" x14ac:dyDescent="0.25">
      <c r="A151" t="s">
        <v>3</v>
      </c>
      <c r="B151" s="1">
        <v>45566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  <row r="152" spans="1:21" x14ac:dyDescent="0.25">
      <c r="A152" t="s">
        <v>4</v>
      </c>
      <c r="B152" s="1">
        <v>45567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</row>
    <row r="153" spans="1:21" x14ac:dyDescent="0.25">
      <c r="A153" t="s">
        <v>5</v>
      </c>
      <c r="B153" s="1">
        <v>45568</v>
      </c>
      <c r="C153" s="85"/>
      <c r="D153" s="85">
        <v>0</v>
      </c>
      <c r="E153" s="85">
        <v>0</v>
      </c>
      <c r="F153" s="85">
        <v>0</v>
      </c>
      <c r="G153" s="85">
        <v>0</v>
      </c>
      <c r="H153" s="85">
        <v>0</v>
      </c>
      <c r="I153" s="85">
        <v>0</v>
      </c>
      <c r="J153" s="85">
        <v>0</v>
      </c>
      <c r="K153" s="85">
        <v>0</v>
      </c>
      <c r="L153" s="85">
        <v>0</v>
      </c>
      <c r="M153" s="85">
        <v>0</v>
      </c>
      <c r="N153" s="85">
        <v>0</v>
      </c>
      <c r="O153" s="85">
        <v>0</v>
      </c>
      <c r="P153" s="85">
        <v>0</v>
      </c>
      <c r="Q153" s="85">
        <v>0</v>
      </c>
      <c r="R153" s="85">
        <v>0</v>
      </c>
      <c r="S153" s="85">
        <v>0</v>
      </c>
      <c r="T153" s="85">
        <v>0</v>
      </c>
      <c r="U153" s="83">
        <f>SUM(D153:T153)</f>
        <v>0</v>
      </c>
    </row>
    <row r="154" spans="1:21" x14ac:dyDescent="0.25">
      <c r="A154" t="s">
        <v>6</v>
      </c>
      <c r="B154" s="1">
        <v>45569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1" x14ac:dyDescent="0.25">
      <c r="A155" t="s">
        <v>7</v>
      </c>
      <c r="B155" s="1">
        <v>45570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 spans="1:21" x14ac:dyDescent="0.25">
      <c r="A156" t="s">
        <v>8</v>
      </c>
      <c r="B156" s="1">
        <v>45571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 spans="1:21" x14ac:dyDescent="0.25">
      <c r="A157" t="s">
        <v>2</v>
      </c>
      <c r="B157" s="1">
        <v>45572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</row>
    <row r="158" spans="1:21" x14ac:dyDescent="0.25">
      <c r="A158" t="s">
        <v>3</v>
      </c>
      <c r="B158" s="1">
        <v>45573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1" x14ac:dyDescent="0.25">
      <c r="A159" t="s">
        <v>4</v>
      </c>
      <c r="B159" s="1">
        <v>45574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 spans="1:21" x14ac:dyDescent="0.25">
      <c r="A160" t="s">
        <v>5</v>
      </c>
      <c r="B160" s="1">
        <v>45575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0" x14ac:dyDescent="0.25">
      <c r="A161" t="s">
        <v>6</v>
      </c>
      <c r="B161" s="1">
        <v>45576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 spans="1:20" x14ac:dyDescent="0.25">
      <c r="A162" t="s">
        <v>7</v>
      </c>
      <c r="B162" s="1">
        <v>45577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</row>
    <row r="163" spans="1:20" x14ac:dyDescent="0.25">
      <c r="A163" t="s">
        <v>8</v>
      </c>
      <c r="B163" s="1">
        <v>45578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 spans="1:20" x14ac:dyDescent="0.25">
      <c r="A164" t="s">
        <v>2</v>
      </c>
      <c r="B164" s="1">
        <v>45579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</row>
    <row r="165" spans="1:20" x14ac:dyDescent="0.25">
      <c r="A165" t="s">
        <v>3</v>
      </c>
      <c r="B165" s="1">
        <v>45580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 spans="1:20" x14ac:dyDescent="0.25">
      <c r="A166" t="s">
        <v>4</v>
      </c>
      <c r="B166" s="1">
        <v>45581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20" x14ac:dyDescent="0.25">
      <c r="A167" t="s">
        <v>5</v>
      </c>
      <c r="B167" s="1">
        <v>45582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</row>
    <row r="168" spans="1:20" x14ac:dyDescent="0.25">
      <c r="A168" t="s">
        <v>6</v>
      </c>
      <c r="B168" s="1">
        <v>45583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 spans="1:20" x14ac:dyDescent="0.25">
      <c r="A169" t="s">
        <v>7</v>
      </c>
      <c r="B169" s="1">
        <v>45584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 x14ac:dyDescent="0.25">
      <c r="A170" t="s">
        <v>8</v>
      </c>
      <c r="B170" s="1">
        <v>45585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 spans="1:20" x14ac:dyDescent="0.25">
      <c r="A171" t="s">
        <v>2</v>
      </c>
      <c r="B171" s="1">
        <v>45586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</row>
    <row r="172" spans="1:20" x14ac:dyDescent="0.25">
      <c r="A172" t="s">
        <v>3</v>
      </c>
      <c r="B172" s="1">
        <v>45587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:20" x14ac:dyDescent="0.25">
      <c r="A173" t="s">
        <v>4</v>
      </c>
      <c r="B173" s="1">
        <v>45588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x14ac:dyDescent="0.25">
      <c r="A174" t="s">
        <v>5</v>
      </c>
      <c r="B174" s="1">
        <v>45589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 x14ac:dyDescent="0.25">
      <c r="A175" t="s">
        <v>6</v>
      </c>
      <c r="B175" s="1">
        <v>45590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 x14ac:dyDescent="0.25">
      <c r="A176" t="s">
        <v>7</v>
      </c>
      <c r="B176" s="1">
        <v>45591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 x14ac:dyDescent="0.25">
      <c r="A177" t="s">
        <v>8</v>
      </c>
      <c r="B177" s="1">
        <v>45592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 x14ac:dyDescent="0.25">
      <c r="A178" t="s">
        <v>2</v>
      </c>
      <c r="B178" s="1">
        <v>45593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 x14ac:dyDescent="0.25">
      <c r="A179" t="s">
        <v>3</v>
      </c>
      <c r="B179" s="1">
        <v>45594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:20" x14ac:dyDescent="0.25">
      <c r="A180" t="s">
        <v>4</v>
      </c>
      <c r="B180" s="1">
        <v>45595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 x14ac:dyDescent="0.25">
      <c r="A181" t="s">
        <v>5</v>
      </c>
      <c r="B181" s="1">
        <v>45596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</sheetData>
  <mergeCells count="4">
    <mergeCell ref="A111:B111"/>
    <mergeCell ref="A37:D37"/>
    <mergeCell ref="A74:D74"/>
    <mergeCell ref="A73:D7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35"/>
  <sheetViews>
    <sheetView topLeftCell="A4" workbookViewId="0">
      <selection activeCell="D14" sqref="D14"/>
    </sheetView>
  </sheetViews>
  <sheetFormatPr defaultRowHeight="15" x14ac:dyDescent="0.25"/>
  <cols>
    <col min="2" max="2" width="10.7109375" bestFit="1" customWidth="1"/>
    <col min="4" max="4" width="22.140625" bestFit="1" customWidth="1"/>
    <col min="5" max="5" width="11.28515625" bestFit="1" customWidth="1"/>
  </cols>
  <sheetData>
    <row r="3" spans="1:20" x14ac:dyDescent="0.25">
      <c r="A3" s="97" t="s">
        <v>42</v>
      </c>
      <c r="B3" s="97"/>
      <c r="C3" s="97"/>
      <c r="D3" s="13">
        <v>0</v>
      </c>
      <c r="G3" s="100" t="s">
        <v>69</v>
      </c>
      <c r="H3" s="100"/>
      <c r="I3" s="100"/>
    </row>
    <row r="4" spans="1:20" x14ac:dyDescent="0.25">
      <c r="A4" s="96" t="s">
        <v>41</v>
      </c>
      <c r="B4" s="96"/>
      <c r="C4" s="46" t="s">
        <v>71</v>
      </c>
      <c r="D4" s="47" t="s">
        <v>72</v>
      </c>
      <c r="E4" s="50" t="s">
        <v>59</v>
      </c>
      <c r="G4" s="101" t="s">
        <v>70</v>
      </c>
      <c r="H4" s="101"/>
      <c r="I4" s="101"/>
    </row>
    <row r="5" spans="1:20" x14ac:dyDescent="0.25">
      <c r="A5" t="s">
        <v>3</v>
      </c>
      <c r="B5" s="1">
        <v>45566</v>
      </c>
      <c r="C5" s="48">
        <v>0</v>
      </c>
      <c r="D5" s="49">
        <v>0</v>
      </c>
      <c r="E5" s="51">
        <f>SUM(D3,C5,-D5)</f>
        <v>0</v>
      </c>
    </row>
    <row r="6" spans="1:20" x14ac:dyDescent="0.25">
      <c r="A6" t="s">
        <v>4</v>
      </c>
      <c r="B6" s="1">
        <v>45567</v>
      </c>
      <c r="C6" s="48">
        <v>17000</v>
      </c>
      <c r="D6" s="49">
        <v>5600</v>
      </c>
      <c r="E6" s="51">
        <f>SUM(E5,C6,-D6)</f>
        <v>11400</v>
      </c>
      <c r="H6" s="99" t="s">
        <v>66</v>
      </c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</row>
    <row r="7" spans="1:20" x14ac:dyDescent="0.25">
      <c r="A7" t="s">
        <v>5</v>
      </c>
      <c r="B7" s="1">
        <v>45568</v>
      </c>
      <c r="C7" s="48">
        <v>6300</v>
      </c>
      <c r="D7" s="49">
        <v>35700</v>
      </c>
      <c r="E7" s="51">
        <f t="shared" ref="E7:E35" si="0">SUM(E6,C7,-D7)</f>
        <v>-18000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x14ac:dyDescent="0.25">
      <c r="A8" t="s">
        <v>6</v>
      </c>
      <c r="B8" s="1">
        <v>45569</v>
      </c>
      <c r="C8" s="48">
        <v>2500</v>
      </c>
      <c r="D8" s="49">
        <v>25000</v>
      </c>
      <c r="E8" s="51">
        <f t="shared" si="0"/>
        <v>-40500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20" x14ac:dyDescent="0.25">
      <c r="A9" t="s">
        <v>7</v>
      </c>
      <c r="B9" s="1">
        <v>45570</v>
      </c>
      <c r="C9" s="48">
        <v>6500</v>
      </c>
      <c r="D9" s="49">
        <v>12200</v>
      </c>
      <c r="E9" s="51">
        <f t="shared" si="0"/>
        <v>-46200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20" x14ac:dyDescent="0.25">
      <c r="A10" t="s">
        <v>8</v>
      </c>
      <c r="B10" s="1">
        <v>45571</v>
      </c>
      <c r="C10" s="48">
        <v>0</v>
      </c>
      <c r="D10" s="49">
        <v>0</v>
      </c>
      <c r="E10" s="51">
        <f t="shared" si="0"/>
        <v>-46200</v>
      </c>
    </row>
    <row r="11" spans="1:20" x14ac:dyDescent="0.25">
      <c r="A11" t="s">
        <v>2</v>
      </c>
      <c r="B11" s="1">
        <v>45572</v>
      </c>
      <c r="C11" s="48">
        <v>0</v>
      </c>
      <c r="D11" s="49">
        <v>0</v>
      </c>
      <c r="E11" s="51">
        <f>SUM(E10,C11,-D11)</f>
        <v>-46200</v>
      </c>
      <c r="G11" s="82" t="s">
        <v>68</v>
      </c>
    </row>
    <row r="12" spans="1:20" x14ac:dyDescent="0.25">
      <c r="A12" t="s">
        <v>3</v>
      </c>
      <c r="B12" s="1">
        <v>45573</v>
      </c>
      <c r="C12" s="48">
        <v>2500</v>
      </c>
      <c r="D12" s="49">
        <v>3500</v>
      </c>
      <c r="E12" s="51">
        <f t="shared" si="0"/>
        <v>-47200</v>
      </c>
    </row>
    <row r="13" spans="1:20" x14ac:dyDescent="0.25">
      <c r="A13" t="s">
        <v>4</v>
      </c>
      <c r="B13" s="1">
        <v>45574</v>
      </c>
      <c r="C13" s="48">
        <v>0</v>
      </c>
      <c r="D13" s="49">
        <v>3000</v>
      </c>
      <c r="E13" s="51">
        <f t="shared" si="0"/>
        <v>-50200</v>
      </c>
      <c r="G13" s="82" t="s">
        <v>68</v>
      </c>
    </row>
    <row r="14" spans="1:20" x14ac:dyDescent="0.25">
      <c r="A14" t="s">
        <v>5</v>
      </c>
      <c r="B14" s="1">
        <v>45575</v>
      </c>
      <c r="C14" s="48">
        <v>0</v>
      </c>
      <c r="D14" s="49">
        <v>0</v>
      </c>
      <c r="E14" s="51">
        <f t="shared" si="0"/>
        <v>-50200</v>
      </c>
      <c r="G14" s="92" t="s">
        <v>68</v>
      </c>
    </row>
    <row r="15" spans="1:20" x14ac:dyDescent="0.25">
      <c r="A15" t="s">
        <v>6</v>
      </c>
      <c r="B15" s="1">
        <v>45576</v>
      </c>
      <c r="C15" s="48">
        <v>0</v>
      </c>
      <c r="D15" s="49">
        <v>0</v>
      </c>
      <c r="E15" s="51">
        <f t="shared" si="0"/>
        <v>-50200</v>
      </c>
    </row>
    <row r="16" spans="1:20" x14ac:dyDescent="0.25">
      <c r="A16" t="s">
        <v>7</v>
      </c>
      <c r="B16" s="1">
        <v>45577</v>
      </c>
      <c r="C16" s="48">
        <v>0</v>
      </c>
      <c r="D16" s="49">
        <v>0</v>
      </c>
      <c r="E16" s="51">
        <f t="shared" si="0"/>
        <v>-50200</v>
      </c>
    </row>
    <row r="17" spans="1:7" x14ac:dyDescent="0.25">
      <c r="A17" t="s">
        <v>8</v>
      </c>
      <c r="B17" s="1">
        <v>45578</v>
      </c>
      <c r="C17" s="48">
        <v>0</v>
      </c>
      <c r="D17" s="49">
        <v>0</v>
      </c>
      <c r="E17" s="51">
        <f t="shared" si="0"/>
        <v>-50200</v>
      </c>
    </row>
    <row r="18" spans="1:7" x14ac:dyDescent="0.25">
      <c r="A18" t="s">
        <v>2</v>
      </c>
      <c r="B18" s="1">
        <v>45579</v>
      </c>
      <c r="C18" s="48">
        <v>0</v>
      </c>
      <c r="D18" s="49">
        <v>0</v>
      </c>
      <c r="E18" s="51">
        <f t="shared" si="0"/>
        <v>-50200</v>
      </c>
    </row>
    <row r="19" spans="1:7" x14ac:dyDescent="0.25">
      <c r="A19" t="s">
        <v>3</v>
      </c>
      <c r="B19" s="1">
        <v>45580</v>
      </c>
      <c r="C19" s="48">
        <v>0</v>
      </c>
      <c r="D19" s="49">
        <v>0</v>
      </c>
      <c r="E19" s="51">
        <f t="shared" si="0"/>
        <v>-50200</v>
      </c>
    </row>
    <row r="20" spans="1:7" x14ac:dyDescent="0.25">
      <c r="A20" t="s">
        <v>4</v>
      </c>
      <c r="B20" s="1">
        <v>45581</v>
      </c>
      <c r="C20" s="48">
        <v>0</v>
      </c>
      <c r="D20" s="49">
        <v>0</v>
      </c>
      <c r="E20" s="51">
        <f t="shared" si="0"/>
        <v>-50200</v>
      </c>
    </row>
    <row r="21" spans="1:7" x14ac:dyDescent="0.25">
      <c r="A21" t="s">
        <v>5</v>
      </c>
      <c r="B21" s="1">
        <v>45582</v>
      </c>
      <c r="C21" s="48">
        <v>0</v>
      </c>
      <c r="D21" s="49">
        <v>0</v>
      </c>
      <c r="E21" s="51">
        <f t="shared" si="0"/>
        <v>-50200</v>
      </c>
    </row>
    <row r="22" spans="1:7" x14ac:dyDescent="0.25">
      <c r="A22" t="s">
        <v>6</v>
      </c>
      <c r="B22" s="1">
        <v>45583</v>
      </c>
      <c r="C22" s="48">
        <v>0</v>
      </c>
      <c r="D22" s="49">
        <v>0</v>
      </c>
      <c r="E22" s="51">
        <f t="shared" si="0"/>
        <v>-50200</v>
      </c>
    </row>
    <row r="23" spans="1:7" x14ac:dyDescent="0.25">
      <c r="A23" t="s">
        <v>7</v>
      </c>
      <c r="B23" s="1">
        <v>45584</v>
      </c>
      <c r="C23" s="48">
        <v>0</v>
      </c>
      <c r="D23" s="49">
        <v>0</v>
      </c>
      <c r="E23" s="51">
        <f t="shared" si="0"/>
        <v>-50200</v>
      </c>
      <c r="G23" s="93" t="s">
        <v>76</v>
      </c>
    </row>
    <row r="24" spans="1:7" x14ac:dyDescent="0.25">
      <c r="A24" t="s">
        <v>8</v>
      </c>
      <c r="B24" s="1">
        <v>45585</v>
      </c>
      <c r="C24" s="48">
        <v>0</v>
      </c>
      <c r="D24" s="49">
        <v>0</v>
      </c>
      <c r="E24" s="51">
        <f t="shared" si="0"/>
        <v>-50200</v>
      </c>
    </row>
    <row r="25" spans="1:7" x14ac:dyDescent="0.25">
      <c r="A25" t="s">
        <v>2</v>
      </c>
      <c r="B25" s="1">
        <v>45586</v>
      </c>
      <c r="C25" s="48">
        <v>0</v>
      </c>
      <c r="D25" s="49">
        <v>0</v>
      </c>
      <c r="E25" s="51">
        <f t="shared" si="0"/>
        <v>-50200</v>
      </c>
    </row>
    <row r="26" spans="1:7" x14ac:dyDescent="0.25">
      <c r="A26" t="s">
        <v>3</v>
      </c>
      <c r="B26" s="1">
        <v>45587</v>
      </c>
      <c r="C26" s="48">
        <v>0</v>
      </c>
      <c r="D26" s="49">
        <v>0</v>
      </c>
      <c r="E26" s="51">
        <f t="shared" si="0"/>
        <v>-50200</v>
      </c>
    </row>
    <row r="27" spans="1:7" x14ac:dyDescent="0.25">
      <c r="A27" t="s">
        <v>4</v>
      </c>
      <c r="B27" s="1">
        <v>45588</v>
      </c>
      <c r="C27" s="48">
        <v>0</v>
      </c>
      <c r="D27" s="49">
        <v>0</v>
      </c>
      <c r="E27" s="51">
        <f t="shared" si="0"/>
        <v>-50200</v>
      </c>
    </row>
    <row r="28" spans="1:7" x14ac:dyDescent="0.25">
      <c r="A28" t="s">
        <v>5</v>
      </c>
      <c r="B28" s="1">
        <v>45589</v>
      </c>
      <c r="C28" s="48">
        <v>0</v>
      </c>
      <c r="D28" s="49">
        <v>0</v>
      </c>
      <c r="E28" s="51">
        <f t="shared" si="0"/>
        <v>-50200</v>
      </c>
    </row>
    <row r="29" spans="1:7" x14ac:dyDescent="0.25">
      <c r="A29" t="s">
        <v>6</v>
      </c>
      <c r="B29" s="1">
        <v>45590</v>
      </c>
      <c r="C29" s="48">
        <v>0</v>
      </c>
      <c r="D29" s="49">
        <v>0</v>
      </c>
      <c r="E29" s="51">
        <f t="shared" si="0"/>
        <v>-50200</v>
      </c>
      <c r="F29" t="s">
        <v>68</v>
      </c>
    </row>
    <row r="30" spans="1:7" x14ac:dyDescent="0.25">
      <c r="A30" t="s">
        <v>7</v>
      </c>
      <c r="B30" s="1">
        <v>45591</v>
      </c>
      <c r="C30" s="48">
        <v>0</v>
      </c>
      <c r="D30" s="49">
        <v>0</v>
      </c>
      <c r="E30" s="51">
        <f t="shared" si="0"/>
        <v>-50200</v>
      </c>
    </row>
    <row r="31" spans="1:7" x14ac:dyDescent="0.25">
      <c r="A31" t="s">
        <v>8</v>
      </c>
      <c r="B31" s="1">
        <v>45592</v>
      </c>
      <c r="C31" s="48">
        <v>0</v>
      </c>
      <c r="D31" s="49">
        <v>0</v>
      </c>
      <c r="E31" s="51">
        <f t="shared" si="0"/>
        <v>-50200</v>
      </c>
    </row>
    <row r="32" spans="1:7" x14ac:dyDescent="0.25">
      <c r="A32" t="s">
        <v>2</v>
      </c>
      <c r="B32" s="1">
        <v>45593</v>
      </c>
      <c r="C32" s="48">
        <v>0</v>
      </c>
      <c r="D32" s="49">
        <v>0</v>
      </c>
      <c r="E32" s="51">
        <f t="shared" si="0"/>
        <v>-50200</v>
      </c>
    </row>
    <row r="33" spans="1:5" x14ac:dyDescent="0.25">
      <c r="A33" t="s">
        <v>3</v>
      </c>
      <c r="B33" s="1">
        <v>45594</v>
      </c>
      <c r="C33" s="48">
        <v>0</v>
      </c>
      <c r="D33" s="49">
        <v>0</v>
      </c>
      <c r="E33" s="51">
        <f t="shared" si="0"/>
        <v>-50200</v>
      </c>
    </row>
    <row r="34" spans="1:5" x14ac:dyDescent="0.25">
      <c r="A34" t="s">
        <v>4</v>
      </c>
      <c r="B34" s="1">
        <v>45595</v>
      </c>
      <c r="C34" s="48">
        <v>0</v>
      </c>
      <c r="D34" s="49">
        <v>0</v>
      </c>
      <c r="E34" s="51">
        <f t="shared" si="0"/>
        <v>-50200</v>
      </c>
    </row>
    <row r="35" spans="1:5" x14ac:dyDescent="0.25">
      <c r="A35" t="s">
        <v>5</v>
      </c>
      <c r="B35" s="1">
        <v>45596</v>
      </c>
      <c r="C35" s="48">
        <v>0</v>
      </c>
      <c r="D35" s="49">
        <v>0</v>
      </c>
      <c r="E35" s="51">
        <f t="shared" si="0"/>
        <v>-50200</v>
      </c>
    </row>
  </sheetData>
  <mergeCells count="5">
    <mergeCell ref="A4:B4"/>
    <mergeCell ref="A3:C3"/>
    <mergeCell ref="H6:T6"/>
    <mergeCell ref="G3:I3"/>
    <mergeCell ref="G4:I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35"/>
  <sheetViews>
    <sheetView topLeftCell="A14" workbookViewId="0">
      <selection activeCell="A4" sqref="A4:A34"/>
    </sheetView>
  </sheetViews>
  <sheetFormatPr defaultRowHeight="15" x14ac:dyDescent="0.25"/>
  <cols>
    <col min="1" max="1" width="10.85546875" customWidth="1"/>
    <col min="2" max="2" width="10.7109375" bestFit="1" customWidth="1"/>
  </cols>
  <sheetData>
    <row r="3" spans="1:3" x14ac:dyDescent="0.25">
      <c r="A3" s="16" t="s">
        <v>53</v>
      </c>
      <c r="C3" s="5" t="s">
        <v>50</v>
      </c>
    </row>
    <row r="4" spans="1:3" x14ac:dyDescent="0.25">
      <c r="A4" t="s">
        <v>3</v>
      </c>
      <c r="B4" s="1">
        <v>45566</v>
      </c>
      <c r="C4">
        <v>0</v>
      </c>
    </row>
    <row r="5" spans="1:3" x14ac:dyDescent="0.25">
      <c r="A5" t="s">
        <v>4</v>
      </c>
      <c r="B5" s="1">
        <v>45567</v>
      </c>
      <c r="C5">
        <v>0</v>
      </c>
    </row>
    <row r="6" spans="1:3" x14ac:dyDescent="0.25">
      <c r="A6" t="s">
        <v>5</v>
      </c>
      <c r="B6" s="1">
        <v>45568</v>
      </c>
      <c r="C6">
        <v>0</v>
      </c>
    </row>
    <row r="7" spans="1:3" x14ac:dyDescent="0.25">
      <c r="A7" t="s">
        <v>6</v>
      </c>
      <c r="B7" s="1">
        <v>45569</v>
      </c>
      <c r="C7">
        <v>0</v>
      </c>
    </row>
    <row r="8" spans="1:3" x14ac:dyDescent="0.25">
      <c r="A8" t="s">
        <v>7</v>
      </c>
      <c r="B8" s="1">
        <v>45570</v>
      </c>
      <c r="C8">
        <v>0</v>
      </c>
    </row>
    <row r="9" spans="1:3" x14ac:dyDescent="0.25">
      <c r="A9" t="s">
        <v>8</v>
      </c>
      <c r="B9" s="1">
        <v>45571</v>
      </c>
      <c r="C9">
        <v>0</v>
      </c>
    </row>
    <row r="10" spans="1:3" x14ac:dyDescent="0.25">
      <c r="A10" t="s">
        <v>2</v>
      </c>
      <c r="B10" s="1">
        <v>45572</v>
      </c>
      <c r="C10">
        <v>0</v>
      </c>
    </row>
    <row r="11" spans="1:3" x14ac:dyDescent="0.25">
      <c r="A11" t="s">
        <v>3</v>
      </c>
      <c r="B11" s="1">
        <v>45573</v>
      </c>
      <c r="C11">
        <v>0</v>
      </c>
    </row>
    <row r="12" spans="1:3" x14ac:dyDescent="0.25">
      <c r="A12" t="s">
        <v>4</v>
      </c>
      <c r="B12" s="1">
        <v>45574</v>
      </c>
      <c r="C12">
        <v>0</v>
      </c>
    </row>
    <row r="13" spans="1:3" x14ac:dyDescent="0.25">
      <c r="A13" t="s">
        <v>5</v>
      </c>
      <c r="B13" s="1">
        <v>45575</v>
      </c>
      <c r="C13">
        <v>0</v>
      </c>
    </row>
    <row r="14" spans="1:3" x14ac:dyDescent="0.25">
      <c r="A14" t="s">
        <v>6</v>
      </c>
      <c r="B14" s="1">
        <v>45576</v>
      </c>
      <c r="C14">
        <v>0</v>
      </c>
    </row>
    <row r="15" spans="1:3" x14ac:dyDescent="0.25">
      <c r="A15" t="s">
        <v>7</v>
      </c>
      <c r="B15" s="1">
        <v>45577</v>
      </c>
      <c r="C15">
        <v>0</v>
      </c>
    </row>
    <row r="16" spans="1:3" x14ac:dyDescent="0.25">
      <c r="A16" t="s">
        <v>8</v>
      </c>
      <c r="B16" s="1">
        <v>45578</v>
      </c>
      <c r="C16">
        <v>0</v>
      </c>
    </row>
    <row r="17" spans="1:3" x14ac:dyDescent="0.25">
      <c r="A17" t="s">
        <v>2</v>
      </c>
      <c r="B17" s="1">
        <v>45579</v>
      </c>
      <c r="C17">
        <v>0</v>
      </c>
    </row>
    <row r="18" spans="1:3" x14ac:dyDescent="0.25">
      <c r="A18" t="s">
        <v>3</v>
      </c>
      <c r="B18" s="1">
        <v>45580</v>
      </c>
      <c r="C18">
        <v>0</v>
      </c>
    </row>
    <row r="19" spans="1:3" x14ac:dyDescent="0.25">
      <c r="A19" t="s">
        <v>4</v>
      </c>
      <c r="B19" s="1">
        <v>45581</v>
      </c>
      <c r="C19">
        <v>0</v>
      </c>
    </row>
    <row r="20" spans="1:3" x14ac:dyDescent="0.25">
      <c r="A20" t="s">
        <v>5</v>
      </c>
      <c r="B20" s="1">
        <v>45582</v>
      </c>
      <c r="C20">
        <v>0</v>
      </c>
    </row>
    <row r="21" spans="1:3" x14ac:dyDescent="0.25">
      <c r="A21" t="s">
        <v>6</v>
      </c>
      <c r="B21" s="1">
        <v>45583</v>
      </c>
      <c r="C21">
        <v>0</v>
      </c>
    </row>
    <row r="22" spans="1:3" x14ac:dyDescent="0.25">
      <c r="A22" t="s">
        <v>7</v>
      </c>
      <c r="B22" s="1">
        <v>45584</v>
      </c>
      <c r="C22">
        <v>0</v>
      </c>
    </row>
    <row r="23" spans="1:3" x14ac:dyDescent="0.25">
      <c r="A23" t="s">
        <v>8</v>
      </c>
      <c r="B23" s="1">
        <v>45585</v>
      </c>
      <c r="C23">
        <v>0</v>
      </c>
    </row>
    <row r="24" spans="1:3" x14ac:dyDescent="0.25">
      <c r="A24" t="s">
        <v>2</v>
      </c>
      <c r="B24" s="1">
        <v>45586</v>
      </c>
      <c r="C24">
        <v>0</v>
      </c>
    </row>
    <row r="25" spans="1:3" x14ac:dyDescent="0.25">
      <c r="A25" t="s">
        <v>3</v>
      </c>
      <c r="B25" s="1">
        <v>45587</v>
      </c>
      <c r="C25">
        <v>0</v>
      </c>
    </row>
    <row r="26" spans="1:3" x14ac:dyDescent="0.25">
      <c r="A26" t="s">
        <v>4</v>
      </c>
      <c r="B26" s="1">
        <v>45588</v>
      </c>
      <c r="C26">
        <v>0</v>
      </c>
    </row>
    <row r="27" spans="1:3" x14ac:dyDescent="0.25">
      <c r="A27" t="s">
        <v>5</v>
      </c>
      <c r="B27" s="1">
        <v>45589</v>
      </c>
      <c r="C27">
        <v>0</v>
      </c>
    </row>
    <row r="28" spans="1:3" x14ac:dyDescent="0.25">
      <c r="A28" t="s">
        <v>6</v>
      </c>
      <c r="B28" s="1">
        <v>45590</v>
      </c>
      <c r="C28">
        <v>0</v>
      </c>
    </row>
    <row r="29" spans="1:3" x14ac:dyDescent="0.25">
      <c r="A29" t="s">
        <v>7</v>
      </c>
      <c r="B29" s="1">
        <v>45591</v>
      </c>
      <c r="C29">
        <v>0</v>
      </c>
    </row>
    <row r="30" spans="1:3" x14ac:dyDescent="0.25">
      <c r="A30" t="s">
        <v>8</v>
      </c>
      <c r="B30" s="1">
        <v>45592</v>
      </c>
      <c r="C30">
        <v>0</v>
      </c>
    </row>
    <row r="31" spans="1:3" x14ac:dyDescent="0.25">
      <c r="A31" t="s">
        <v>2</v>
      </c>
      <c r="B31" s="1">
        <v>45593</v>
      </c>
      <c r="C31">
        <v>0</v>
      </c>
    </row>
    <row r="32" spans="1:3" x14ac:dyDescent="0.25">
      <c r="A32" t="s">
        <v>3</v>
      </c>
      <c r="B32" s="1">
        <v>45594</v>
      </c>
      <c r="C32">
        <v>0</v>
      </c>
    </row>
    <row r="33" spans="1:3" x14ac:dyDescent="0.25">
      <c r="A33" t="s">
        <v>4</v>
      </c>
      <c r="B33" s="1">
        <v>45595</v>
      </c>
      <c r="C33">
        <v>0</v>
      </c>
    </row>
    <row r="34" spans="1:3" x14ac:dyDescent="0.25">
      <c r="A34" t="s">
        <v>5</v>
      </c>
      <c r="B34" s="1">
        <v>45596</v>
      </c>
      <c r="C34">
        <v>0</v>
      </c>
    </row>
    <row r="35" spans="1:3" x14ac:dyDescent="0.25">
      <c r="B35" s="5" t="s">
        <v>26</v>
      </c>
      <c r="C35" s="5">
        <f>SUM(C4:C34)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opLeftCell="A17" workbookViewId="0">
      <selection activeCell="A6" sqref="A6:A36"/>
    </sheetView>
  </sheetViews>
  <sheetFormatPr defaultRowHeight="15" x14ac:dyDescent="0.25"/>
  <cols>
    <col min="1" max="1" width="12.85546875" bestFit="1" customWidth="1"/>
    <col min="2" max="2" width="10.7109375" bestFit="1" customWidth="1"/>
    <col min="10" max="10" width="11.42578125" bestFit="1" customWidth="1"/>
  </cols>
  <sheetData>
    <row r="1" spans="1:10" x14ac:dyDescent="0.25">
      <c r="B1" s="5" t="s">
        <v>54</v>
      </c>
      <c r="C1" s="5" t="s">
        <v>55</v>
      </c>
      <c r="D1" t="s">
        <v>26</v>
      </c>
    </row>
    <row r="2" spans="1:10" x14ac:dyDescent="0.25">
      <c r="A2" s="18" t="s">
        <v>56</v>
      </c>
      <c r="B2" s="11">
        <v>0</v>
      </c>
      <c r="C2" s="11">
        <v>0</v>
      </c>
      <c r="D2" s="18"/>
    </row>
    <row r="3" spans="1:10" ht="15.75" thickBot="1" x14ac:dyDescent="0.3">
      <c r="A3" s="10"/>
      <c r="B3" s="36"/>
      <c r="C3" s="36"/>
      <c r="D3" s="10"/>
    </row>
    <row r="4" spans="1:10" x14ac:dyDescent="0.25">
      <c r="C4" s="102" t="s">
        <v>63</v>
      </c>
      <c r="D4" s="103"/>
      <c r="E4" s="104"/>
      <c r="F4" s="102" t="s">
        <v>64</v>
      </c>
      <c r="G4" s="103"/>
      <c r="H4" s="104"/>
      <c r="J4" s="82" t="s">
        <v>62</v>
      </c>
    </row>
    <row r="5" spans="1:10" x14ac:dyDescent="0.25">
      <c r="C5" s="37" t="s">
        <v>35</v>
      </c>
      <c r="D5" s="12" t="s">
        <v>36</v>
      </c>
      <c r="E5" s="38" t="s">
        <v>37</v>
      </c>
      <c r="F5" s="37" t="s">
        <v>35</v>
      </c>
      <c r="G5" s="12" t="s">
        <v>36</v>
      </c>
      <c r="H5" s="38" t="s">
        <v>37</v>
      </c>
      <c r="J5" s="83">
        <f>SUM(E6,H6)</f>
        <v>0</v>
      </c>
    </row>
    <row r="6" spans="1:10" x14ac:dyDescent="0.25">
      <c r="A6" t="s">
        <v>3</v>
      </c>
      <c r="B6" s="1">
        <v>45566</v>
      </c>
      <c r="C6" s="37">
        <v>0</v>
      </c>
      <c r="D6" s="12">
        <v>0</v>
      </c>
      <c r="E6" s="38">
        <f>SUM(B2,C6,-D6)</f>
        <v>0</v>
      </c>
      <c r="F6" s="37">
        <v>0</v>
      </c>
      <c r="G6" s="12">
        <v>0</v>
      </c>
      <c r="H6" s="38">
        <f>SUM(C2,F6,-G6)</f>
        <v>0</v>
      </c>
      <c r="J6" s="83">
        <f t="shared" ref="J6:J36" si="0">SUM(E7,H7)</f>
        <v>0</v>
      </c>
    </row>
    <row r="7" spans="1:10" x14ac:dyDescent="0.25">
      <c r="A7" t="s">
        <v>4</v>
      </c>
      <c r="B7" s="1">
        <v>45567</v>
      </c>
      <c r="C7" s="37">
        <v>0</v>
      </c>
      <c r="D7" s="12">
        <v>0</v>
      </c>
      <c r="E7" s="38">
        <f>SUM(E6,C7,-D7)</f>
        <v>0</v>
      </c>
      <c r="F7" s="37">
        <v>0</v>
      </c>
      <c r="G7" s="12">
        <v>0</v>
      </c>
      <c r="H7" s="38">
        <f>SUM(H6,F7,-G7)</f>
        <v>0</v>
      </c>
      <c r="J7" s="83">
        <f t="shared" si="0"/>
        <v>0</v>
      </c>
    </row>
    <row r="8" spans="1:10" x14ac:dyDescent="0.25">
      <c r="A8" t="s">
        <v>5</v>
      </c>
      <c r="B8" s="1">
        <v>45568</v>
      </c>
      <c r="C8" s="37">
        <v>0</v>
      </c>
      <c r="D8" s="12">
        <v>0</v>
      </c>
      <c r="E8" s="38">
        <f>SUM(E7,C8,-D8)</f>
        <v>0</v>
      </c>
      <c r="F8" s="37">
        <v>0</v>
      </c>
      <c r="G8" s="12">
        <v>0</v>
      </c>
      <c r="H8" s="38">
        <f>SUM(H7,F8,-G8)</f>
        <v>0</v>
      </c>
      <c r="J8" s="83">
        <f t="shared" si="0"/>
        <v>0</v>
      </c>
    </row>
    <row r="9" spans="1:10" x14ac:dyDescent="0.25">
      <c r="A9" t="s">
        <v>6</v>
      </c>
      <c r="B9" s="1">
        <v>45569</v>
      </c>
      <c r="C9" s="37">
        <v>0</v>
      </c>
      <c r="D9" s="12">
        <v>0</v>
      </c>
      <c r="E9" s="38">
        <f t="shared" ref="E9:E36" si="1">SUM(E8,C9,-D9)</f>
        <v>0</v>
      </c>
      <c r="F9" s="37">
        <v>0</v>
      </c>
      <c r="G9" s="12">
        <v>0</v>
      </c>
      <c r="H9" s="38">
        <f>SUM(H8,F9,-G9)</f>
        <v>0</v>
      </c>
      <c r="J9" s="83">
        <f t="shared" si="0"/>
        <v>0</v>
      </c>
    </row>
    <row r="10" spans="1:10" x14ac:dyDescent="0.25">
      <c r="A10" t="s">
        <v>7</v>
      </c>
      <c r="B10" s="1">
        <v>45570</v>
      </c>
      <c r="C10" s="37">
        <v>0</v>
      </c>
      <c r="D10" s="12">
        <v>0</v>
      </c>
      <c r="E10" s="38">
        <f t="shared" si="1"/>
        <v>0</v>
      </c>
      <c r="F10" s="37">
        <v>0</v>
      </c>
      <c r="G10" s="12">
        <v>0</v>
      </c>
      <c r="H10" s="38">
        <f t="shared" ref="H10:H36" si="2">SUM(H9,F10,-G10)</f>
        <v>0</v>
      </c>
      <c r="J10" s="83">
        <f t="shared" si="0"/>
        <v>0</v>
      </c>
    </row>
    <row r="11" spans="1:10" x14ac:dyDescent="0.25">
      <c r="A11" t="s">
        <v>8</v>
      </c>
      <c r="B11" s="1">
        <v>45571</v>
      </c>
      <c r="C11" s="37">
        <v>0</v>
      </c>
      <c r="D11" s="12">
        <v>0</v>
      </c>
      <c r="E11" s="38">
        <f t="shared" si="1"/>
        <v>0</v>
      </c>
      <c r="F11" s="37">
        <v>0</v>
      </c>
      <c r="G11" s="12">
        <v>0</v>
      </c>
      <c r="H11" s="38">
        <f t="shared" si="2"/>
        <v>0</v>
      </c>
      <c r="J11" s="83">
        <f t="shared" si="0"/>
        <v>0</v>
      </c>
    </row>
    <row r="12" spans="1:10" x14ac:dyDescent="0.25">
      <c r="A12" t="s">
        <v>2</v>
      </c>
      <c r="B12" s="1">
        <v>45572</v>
      </c>
      <c r="C12" s="37">
        <v>0</v>
      </c>
      <c r="D12" s="12">
        <v>0</v>
      </c>
      <c r="E12" s="38">
        <f t="shared" si="1"/>
        <v>0</v>
      </c>
      <c r="F12" s="37">
        <v>0</v>
      </c>
      <c r="G12" s="12">
        <v>0</v>
      </c>
      <c r="H12" s="38">
        <f t="shared" si="2"/>
        <v>0</v>
      </c>
      <c r="J12" s="83">
        <f t="shared" si="0"/>
        <v>0</v>
      </c>
    </row>
    <row r="13" spans="1:10" x14ac:dyDescent="0.25">
      <c r="A13" t="s">
        <v>3</v>
      </c>
      <c r="B13" s="1">
        <v>45573</v>
      </c>
      <c r="C13" s="37">
        <v>0</v>
      </c>
      <c r="D13" s="12">
        <v>0</v>
      </c>
      <c r="E13" s="38">
        <f t="shared" si="1"/>
        <v>0</v>
      </c>
      <c r="F13" s="37">
        <v>0</v>
      </c>
      <c r="G13" s="12">
        <v>0</v>
      </c>
      <c r="H13" s="38">
        <f t="shared" si="2"/>
        <v>0</v>
      </c>
      <c r="J13" s="83">
        <f t="shared" si="0"/>
        <v>0</v>
      </c>
    </row>
    <row r="14" spans="1:10" x14ac:dyDescent="0.25">
      <c r="A14" t="s">
        <v>4</v>
      </c>
      <c r="B14" s="1">
        <v>45574</v>
      </c>
      <c r="C14" s="37">
        <v>0</v>
      </c>
      <c r="D14" s="12">
        <v>0</v>
      </c>
      <c r="E14" s="38">
        <f t="shared" si="1"/>
        <v>0</v>
      </c>
      <c r="F14" s="37">
        <v>0</v>
      </c>
      <c r="G14" s="12">
        <v>0</v>
      </c>
      <c r="H14" s="38">
        <f t="shared" si="2"/>
        <v>0</v>
      </c>
      <c r="J14" s="83">
        <f t="shared" si="0"/>
        <v>0</v>
      </c>
    </row>
    <row r="15" spans="1:10" x14ac:dyDescent="0.25">
      <c r="A15" t="s">
        <v>5</v>
      </c>
      <c r="B15" s="1">
        <v>45575</v>
      </c>
      <c r="C15" s="37">
        <v>0</v>
      </c>
      <c r="D15" s="12">
        <v>0</v>
      </c>
      <c r="E15" s="38">
        <f t="shared" si="1"/>
        <v>0</v>
      </c>
      <c r="F15" s="37">
        <v>0</v>
      </c>
      <c r="G15" s="12">
        <v>0</v>
      </c>
      <c r="H15" s="38">
        <f t="shared" si="2"/>
        <v>0</v>
      </c>
      <c r="J15" s="83">
        <f t="shared" si="0"/>
        <v>0</v>
      </c>
    </row>
    <row r="16" spans="1:10" x14ac:dyDescent="0.25">
      <c r="A16" t="s">
        <v>6</v>
      </c>
      <c r="B16" s="1">
        <v>45576</v>
      </c>
      <c r="C16" s="37">
        <v>0</v>
      </c>
      <c r="D16" s="12">
        <v>0</v>
      </c>
      <c r="E16" s="38">
        <f t="shared" si="1"/>
        <v>0</v>
      </c>
      <c r="F16" s="37">
        <v>0</v>
      </c>
      <c r="G16" s="12">
        <v>0</v>
      </c>
      <c r="H16" s="38">
        <f t="shared" si="2"/>
        <v>0</v>
      </c>
      <c r="J16" s="83">
        <f t="shared" si="0"/>
        <v>0</v>
      </c>
    </row>
    <row r="17" spans="1:10" x14ac:dyDescent="0.25">
      <c r="A17" t="s">
        <v>7</v>
      </c>
      <c r="B17" s="1">
        <v>45577</v>
      </c>
      <c r="C17" s="37">
        <v>0</v>
      </c>
      <c r="D17" s="12">
        <v>0</v>
      </c>
      <c r="E17" s="38">
        <f t="shared" si="1"/>
        <v>0</v>
      </c>
      <c r="F17" s="37">
        <v>0</v>
      </c>
      <c r="G17" s="12">
        <v>0</v>
      </c>
      <c r="H17" s="38">
        <f t="shared" si="2"/>
        <v>0</v>
      </c>
      <c r="J17" s="83">
        <f t="shared" si="0"/>
        <v>0</v>
      </c>
    </row>
    <row r="18" spans="1:10" x14ac:dyDescent="0.25">
      <c r="A18" t="s">
        <v>8</v>
      </c>
      <c r="B18" s="1">
        <v>45578</v>
      </c>
      <c r="C18" s="37">
        <v>0</v>
      </c>
      <c r="D18" s="12">
        <v>0</v>
      </c>
      <c r="E18" s="38">
        <f t="shared" si="1"/>
        <v>0</v>
      </c>
      <c r="F18" s="37">
        <v>0</v>
      </c>
      <c r="G18" s="12">
        <v>0</v>
      </c>
      <c r="H18" s="38">
        <f t="shared" si="2"/>
        <v>0</v>
      </c>
      <c r="J18" s="83">
        <f t="shared" si="0"/>
        <v>0</v>
      </c>
    </row>
    <row r="19" spans="1:10" x14ac:dyDescent="0.25">
      <c r="A19" t="s">
        <v>2</v>
      </c>
      <c r="B19" s="1">
        <v>45579</v>
      </c>
      <c r="C19" s="37">
        <v>0</v>
      </c>
      <c r="D19" s="12">
        <v>0</v>
      </c>
      <c r="E19" s="38">
        <f t="shared" si="1"/>
        <v>0</v>
      </c>
      <c r="F19" s="37">
        <v>0</v>
      </c>
      <c r="G19" s="12">
        <v>0</v>
      </c>
      <c r="H19" s="38">
        <f t="shared" si="2"/>
        <v>0</v>
      </c>
      <c r="J19" s="83">
        <f t="shared" si="0"/>
        <v>0</v>
      </c>
    </row>
    <row r="20" spans="1:10" x14ac:dyDescent="0.25">
      <c r="A20" t="s">
        <v>3</v>
      </c>
      <c r="B20" s="1">
        <v>45580</v>
      </c>
      <c r="C20" s="37">
        <v>0</v>
      </c>
      <c r="D20" s="12">
        <v>0</v>
      </c>
      <c r="E20" s="38">
        <f t="shared" si="1"/>
        <v>0</v>
      </c>
      <c r="F20" s="37">
        <v>0</v>
      </c>
      <c r="G20" s="12">
        <v>0</v>
      </c>
      <c r="H20" s="38">
        <f t="shared" si="2"/>
        <v>0</v>
      </c>
      <c r="J20" s="83">
        <f t="shared" si="0"/>
        <v>0</v>
      </c>
    </row>
    <row r="21" spans="1:10" x14ac:dyDescent="0.25">
      <c r="A21" t="s">
        <v>4</v>
      </c>
      <c r="B21" s="1">
        <v>45581</v>
      </c>
      <c r="C21" s="37">
        <v>0</v>
      </c>
      <c r="D21" s="12">
        <v>0</v>
      </c>
      <c r="E21" s="38">
        <f t="shared" si="1"/>
        <v>0</v>
      </c>
      <c r="F21" s="37">
        <v>0</v>
      </c>
      <c r="G21" s="12">
        <v>0</v>
      </c>
      <c r="H21" s="38">
        <f t="shared" si="2"/>
        <v>0</v>
      </c>
      <c r="J21" s="83">
        <f t="shared" si="0"/>
        <v>0</v>
      </c>
    </row>
    <row r="22" spans="1:10" x14ac:dyDescent="0.25">
      <c r="A22" t="s">
        <v>5</v>
      </c>
      <c r="B22" s="1">
        <v>45582</v>
      </c>
      <c r="C22" s="37">
        <v>0</v>
      </c>
      <c r="D22" s="12">
        <v>0</v>
      </c>
      <c r="E22" s="38">
        <f t="shared" si="1"/>
        <v>0</v>
      </c>
      <c r="F22" s="37">
        <v>0</v>
      </c>
      <c r="G22" s="12">
        <v>0</v>
      </c>
      <c r="H22" s="38">
        <f t="shared" si="2"/>
        <v>0</v>
      </c>
      <c r="J22" s="83">
        <f t="shared" si="0"/>
        <v>0</v>
      </c>
    </row>
    <row r="23" spans="1:10" x14ac:dyDescent="0.25">
      <c r="A23" t="s">
        <v>6</v>
      </c>
      <c r="B23" s="1">
        <v>45583</v>
      </c>
      <c r="C23" s="37">
        <v>0</v>
      </c>
      <c r="D23" s="12">
        <v>0</v>
      </c>
      <c r="E23" s="38">
        <f t="shared" si="1"/>
        <v>0</v>
      </c>
      <c r="F23" s="37">
        <v>0</v>
      </c>
      <c r="G23" s="12">
        <v>0</v>
      </c>
      <c r="H23" s="38">
        <f t="shared" si="2"/>
        <v>0</v>
      </c>
      <c r="J23" s="83">
        <f t="shared" si="0"/>
        <v>0</v>
      </c>
    </row>
    <row r="24" spans="1:10" x14ac:dyDescent="0.25">
      <c r="A24" t="s">
        <v>7</v>
      </c>
      <c r="B24" s="1">
        <v>45584</v>
      </c>
      <c r="C24" s="37">
        <v>0</v>
      </c>
      <c r="D24" s="12">
        <v>0</v>
      </c>
      <c r="E24" s="38">
        <f t="shared" si="1"/>
        <v>0</v>
      </c>
      <c r="F24" s="37">
        <v>0</v>
      </c>
      <c r="G24" s="12">
        <v>0</v>
      </c>
      <c r="H24" s="38">
        <f t="shared" si="2"/>
        <v>0</v>
      </c>
      <c r="J24" s="83">
        <f t="shared" si="0"/>
        <v>0</v>
      </c>
    </row>
    <row r="25" spans="1:10" x14ac:dyDescent="0.25">
      <c r="A25" t="s">
        <v>8</v>
      </c>
      <c r="B25" s="1">
        <v>45585</v>
      </c>
      <c r="C25" s="37">
        <v>0</v>
      </c>
      <c r="D25" s="12">
        <v>0</v>
      </c>
      <c r="E25" s="38">
        <f t="shared" si="1"/>
        <v>0</v>
      </c>
      <c r="F25" s="37">
        <v>0</v>
      </c>
      <c r="G25" s="12">
        <v>0</v>
      </c>
      <c r="H25" s="38">
        <f t="shared" si="2"/>
        <v>0</v>
      </c>
      <c r="J25" s="83">
        <f t="shared" si="0"/>
        <v>0</v>
      </c>
    </row>
    <row r="26" spans="1:10" x14ac:dyDescent="0.25">
      <c r="A26" t="s">
        <v>2</v>
      </c>
      <c r="B26" s="1">
        <v>45586</v>
      </c>
      <c r="C26" s="37">
        <v>0</v>
      </c>
      <c r="D26" s="12">
        <v>0</v>
      </c>
      <c r="E26" s="38">
        <f t="shared" si="1"/>
        <v>0</v>
      </c>
      <c r="F26" s="37">
        <v>0</v>
      </c>
      <c r="G26" s="12">
        <v>0</v>
      </c>
      <c r="H26" s="38">
        <f t="shared" si="2"/>
        <v>0</v>
      </c>
      <c r="J26" s="83">
        <f t="shared" si="0"/>
        <v>0</v>
      </c>
    </row>
    <row r="27" spans="1:10" x14ac:dyDescent="0.25">
      <c r="A27" t="s">
        <v>3</v>
      </c>
      <c r="B27" s="1">
        <v>45587</v>
      </c>
      <c r="C27" s="37">
        <v>0</v>
      </c>
      <c r="D27" s="12">
        <v>0</v>
      </c>
      <c r="E27" s="38">
        <f t="shared" si="1"/>
        <v>0</v>
      </c>
      <c r="F27" s="37">
        <v>0</v>
      </c>
      <c r="G27" s="12">
        <v>0</v>
      </c>
      <c r="H27" s="38">
        <f t="shared" si="2"/>
        <v>0</v>
      </c>
      <c r="J27" s="83">
        <f t="shared" si="0"/>
        <v>0</v>
      </c>
    </row>
    <row r="28" spans="1:10" x14ac:dyDescent="0.25">
      <c r="A28" t="s">
        <v>4</v>
      </c>
      <c r="B28" s="1">
        <v>45588</v>
      </c>
      <c r="C28" s="37">
        <v>0</v>
      </c>
      <c r="D28" s="12">
        <v>0</v>
      </c>
      <c r="E28" s="38">
        <f t="shared" si="1"/>
        <v>0</v>
      </c>
      <c r="F28" s="37">
        <v>0</v>
      </c>
      <c r="G28" s="12">
        <v>0</v>
      </c>
      <c r="H28" s="38">
        <f t="shared" si="2"/>
        <v>0</v>
      </c>
      <c r="J28" s="83">
        <f t="shared" si="0"/>
        <v>0</v>
      </c>
    </row>
    <row r="29" spans="1:10" x14ac:dyDescent="0.25">
      <c r="A29" t="s">
        <v>5</v>
      </c>
      <c r="B29" s="1">
        <v>45589</v>
      </c>
      <c r="C29" s="37">
        <v>0</v>
      </c>
      <c r="D29" s="12">
        <v>0</v>
      </c>
      <c r="E29" s="38">
        <f t="shared" si="1"/>
        <v>0</v>
      </c>
      <c r="F29" s="37">
        <v>0</v>
      </c>
      <c r="G29" s="12">
        <v>0</v>
      </c>
      <c r="H29" s="38">
        <f t="shared" si="2"/>
        <v>0</v>
      </c>
      <c r="J29" s="83">
        <f t="shared" si="0"/>
        <v>0</v>
      </c>
    </row>
    <row r="30" spans="1:10" x14ac:dyDescent="0.25">
      <c r="A30" t="s">
        <v>6</v>
      </c>
      <c r="B30" s="1">
        <v>45590</v>
      </c>
      <c r="C30" s="37">
        <v>0</v>
      </c>
      <c r="D30" s="12">
        <v>0</v>
      </c>
      <c r="E30" s="38">
        <f t="shared" si="1"/>
        <v>0</v>
      </c>
      <c r="F30" s="37">
        <v>0</v>
      </c>
      <c r="G30" s="12">
        <v>0</v>
      </c>
      <c r="H30" s="38">
        <f t="shared" si="2"/>
        <v>0</v>
      </c>
      <c r="J30" s="83">
        <f t="shared" si="0"/>
        <v>0</v>
      </c>
    </row>
    <row r="31" spans="1:10" x14ac:dyDescent="0.25">
      <c r="A31" t="s">
        <v>7</v>
      </c>
      <c r="B31" s="1">
        <v>45591</v>
      </c>
      <c r="C31" s="37">
        <v>0</v>
      </c>
      <c r="D31" s="12">
        <v>0</v>
      </c>
      <c r="E31" s="38">
        <f t="shared" si="1"/>
        <v>0</v>
      </c>
      <c r="F31" s="37">
        <v>0</v>
      </c>
      <c r="G31" s="12">
        <v>0</v>
      </c>
      <c r="H31" s="38">
        <f t="shared" si="2"/>
        <v>0</v>
      </c>
      <c r="J31" s="83">
        <f t="shared" si="0"/>
        <v>0</v>
      </c>
    </row>
    <row r="32" spans="1:10" x14ac:dyDescent="0.25">
      <c r="A32" t="s">
        <v>8</v>
      </c>
      <c r="B32" s="1">
        <v>45592</v>
      </c>
      <c r="C32" s="37">
        <v>0</v>
      </c>
      <c r="D32" s="12">
        <v>0</v>
      </c>
      <c r="E32" s="38">
        <f t="shared" si="1"/>
        <v>0</v>
      </c>
      <c r="F32" s="37">
        <v>0</v>
      </c>
      <c r="G32" s="12">
        <v>0</v>
      </c>
      <c r="H32" s="38">
        <f t="shared" si="2"/>
        <v>0</v>
      </c>
      <c r="J32" s="83">
        <f t="shared" si="0"/>
        <v>0</v>
      </c>
    </row>
    <row r="33" spans="1:10" x14ac:dyDescent="0.25">
      <c r="A33" t="s">
        <v>2</v>
      </c>
      <c r="B33" s="1">
        <v>45593</v>
      </c>
      <c r="C33" s="37">
        <v>0</v>
      </c>
      <c r="D33" s="12">
        <v>0</v>
      </c>
      <c r="E33" s="38">
        <f t="shared" si="1"/>
        <v>0</v>
      </c>
      <c r="F33" s="37">
        <v>0</v>
      </c>
      <c r="G33" s="12">
        <v>0</v>
      </c>
      <c r="H33" s="38">
        <f t="shared" si="2"/>
        <v>0</v>
      </c>
      <c r="J33" s="83">
        <f t="shared" si="0"/>
        <v>0</v>
      </c>
    </row>
    <row r="34" spans="1:10" x14ac:dyDescent="0.25">
      <c r="A34" t="s">
        <v>3</v>
      </c>
      <c r="B34" s="1">
        <v>45594</v>
      </c>
      <c r="C34" s="37">
        <v>0</v>
      </c>
      <c r="D34" s="12">
        <v>0</v>
      </c>
      <c r="E34" s="38">
        <f t="shared" si="1"/>
        <v>0</v>
      </c>
      <c r="F34" s="37">
        <v>0</v>
      </c>
      <c r="G34" s="12">
        <v>0</v>
      </c>
      <c r="H34" s="38">
        <f t="shared" si="2"/>
        <v>0</v>
      </c>
      <c r="J34" s="83">
        <f t="shared" si="0"/>
        <v>0</v>
      </c>
    </row>
    <row r="35" spans="1:10" x14ac:dyDescent="0.25">
      <c r="A35" t="s">
        <v>4</v>
      </c>
      <c r="B35" s="1">
        <v>45595</v>
      </c>
      <c r="C35" s="37">
        <v>0</v>
      </c>
      <c r="D35" s="12">
        <v>0</v>
      </c>
      <c r="E35" s="38">
        <f t="shared" si="1"/>
        <v>0</v>
      </c>
      <c r="F35" s="37">
        <v>0</v>
      </c>
      <c r="G35" s="12">
        <v>0</v>
      </c>
      <c r="H35" s="38">
        <f t="shared" si="2"/>
        <v>0</v>
      </c>
      <c r="J35" s="83">
        <f t="shared" si="0"/>
        <v>0</v>
      </c>
    </row>
    <row r="36" spans="1:10" ht="15.75" thickBot="1" x14ac:dyDescent="0.3">
      <c r="A36" t="s">
        <v>5</v>
      </c>
      <c r="B36" s="1">
        <v>45596</v>
      </c>
      <c r="C36" s="37">
        <v>0</v>
      </c>
      <c r="D36" s="12">
        <v>0</v>
      </c>
      <c r="E36" s="38">
        <f t="shared" si="1"/>
        <v>0</v>
      </c>
      <c r="F36" s="39">
        <v>0</v>
      </c>
      <c r="G36" s="40">
        <v>0</v>
      </c>
      <c r="H36" s="38">
        <f t="shared" si="2"/>
        <v>0</v>
      </c>
      <c r="J36" s="83">
        <f t="shared" si="0"/>
        <v>0</v>
      </c>
    </row>
    <row r="37" spans="1:10" x14ac:dyDescent="0.25">
      <c r="B37" t="s">
        <v>26</v>
      </c>
      <c r="C37" s="5">
        <f>SUM(C6:C36)</f>
        <v>0</v>
      </c>
      <c r="D37" s="5">
        <f>SUM(D6:D36)</f>
        <v>0</v>
      </c>
      <c r="E37" s="45">
        <f>E36</f>
        <v>0</v>
      </c>
      <c r="F37">
        <f>SUM(F6:F36)</f>
        <v>0</v>
      </c>
      <c r="G37">
        <f>SUM(G6:G36)</f>
        <v>0</v>
      </c>
      <c r="H37" s="41">
        <f>H36</f>
        <v>0</v>
      </c>
    </row>
    <row r="38" spans="1:10" x14ac:dyDescent="0.25">
      <c r="A38" s="105" t="s">
        <v>58</v>
      </c>
      <c r="B38" s="105"/>
      <c r="C38" s="105"/>
      <c r="D38" s="105"/>
      <c r="E38" s="42">
        <f>C37-D37</f>
        <v>0</v>
      </c>
      <c r="H38" s="41">
        <f>F37-G37</f>
        <v>0</v>
      </c>
    </row>
  </sheetData>
  <mergeCells count="3">
    <mergeCell ref="C4:E4"/>
    <mergeCell ref="F4:H4"/>
    <mergeCell ref="A38:D3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9"/>
  <sheetViews>
    <sheetView tabSelected="1" zoomScale="106" zoomScaleNormal="106" workbookViewId="0">
      <selection activeCell="D3" sqref="D3"/>
    </sheetView>
  </sheetViews>
  <sheetFormatPr defaultRowHeight="15" x14ac:dyDescent="0.25"/>
  <cols>
    <col min="2" max="2" width="11.42578125" bestFit="1" customWidth="1"/>
    <col min="6" max="7" width="10.140625" bestFit="1" customWidth="1"/>
    <col min="8" max="8" width="10.5703125" bestFit="1" customWidth="1"/>
    <col min="11" max="11" width="10.5703125" bestFit="1" customWidth="1"/>
    <col min="12" max="12" width="18.140625" customWidth="1"/>
    <col min="13" max="13" width="12.5703125" customWidth="1"/>
    <col min="15" max="15" width="22.140625" bestFit="1" customWidth="1"/>
  </cols>
  <sheetData>
    <row r="2" spans="1:16" x14ac:dyDescent="0.25">
      <c r="C2" s="5" t="s">
        <v>38</v>
      </c>
      <c r="D2" s="5" t="s">
        <v>39</v>
      </c>
      <c r="E2" s="5" t="s">
        <v>40</v>
      </c>
      <c r="F2" s="5" t="s">
        <v>26</v>
      </c>
    </row>
    <row r="3" spans="1:16" x14ac:dyDescent="0.25">
      <c r="A3" s="97" t="s">
        <v>43</v>
      </c>
      <c r="B3" s="97"/>
      <c r="C3" s="14">
        <v>0</v>
      </c>
      <c r="D3" s="14">
        <v>0</v>
      </c>
      <c r="E3" s="14">
        <v>0</v>
      </c>
      <c r="F3" s="14">
        <f>SUM(C3:E3)</f>
        <v>0</v>
      </c>
      <c r="G3" s="2"/>
      <c r="H3" s="2"/>
      <c r="I3" s="2"/>
      <c r="J3" s="2"/>
      <c r="K3" s="2"/>
    </row>
    <row r="4" spans="1:16" ht="15.75" thickBot="1" x14ac:dyDescent="0.3">
      <c r="D4" s="5"/>
    </row>
    <row r="5" spans="1:16" x14ac:dyDescent="0.25">
      <c r="A5" t="s">
        <v>34</v>
      </c>
      <c r="C5" s="110" t="s">
        <v>38</v>
      </c>
      <c r="D5" s="110"/>
      <c r="E5" s="110"/>
      <c r="F5" s="111" t="s">
        <v>39</v>
      </c>
      <c r="G5" s="111"/>
      <c r="H5" s="111"/>
      <c r="I5" s="112" t="s">
        <v>40</v>
      </c>
      <c r="J5" s="112"/>
      <c r="K5" s="112"/>
      <c r="L5" s="109" t="s">
        <v>57</v>
      </c>
      <c r="M5" s="108" t="s">
        <v>26</v>
      </c>
      <c r="O5" s="106" t="s">
        <v>67</v>
      </c>
    </row>
    <row r="6" spans="1:16" x14ac:dyDescent="0.25">
      <c r="C6" s="53" t="s">
        <v>35</v>
      </c>
      <c r="D6" s="53" t="s">
        <v>36</v>
      </c>
      <c r="E6" s="53" t="s">
        <v>37</v>
      </c>
      <c r="F6" s="50" t="s">
        <v>35</v>
      </c>
      <c r="G6" s="50" t="s">
        <v>36</v>
      </c>
      <c r="H6" s="50" t="s">
        <v>37</v>
      </c>
      <c r="I6" s="55" t="s">
        <v>35</v>
      </c>
      <c r="J6" s="55" t="s">
        <v>36</v>
      </c>
      <c r="K6" s="55" t="s">
        <v>37</v>
      </c>
      <c r="L6" s="109"/>
      <c r="M6" s="108"/>
      <c r="O6" s="107"/>
    </row>
    <row r="7" spans="1:16" x14ac:dyDescent="0.25">
      <c r="A7" t="s">
        <v>3</v>
      </c>
      <c r="B7" s="56">
        <v>45566</v>
      </c>
      <c r="C7" s="52">
        <v>0</v>
      </c>
      <c r="D7" s="52">
        <v>0</v>
      </c>
      <c r="E7" s="52">
        <f>SUM(C3,C7,-D7)</f>
        <v>0</v>
      </c>
      <c r="F7" s="54">
        <v>0</v>
      </c>
      <c r="G7" s="54">
        <v>0</v>
      </c>
      <c r="H7" s="54">
        <f>SUM(D3,F7,-G7)</f>
        <v>0</v>
      </c>
      <c r="I7" s="52">
        <v>0</v>
      </c>
      <c r="J7" s="52">
        <v>0</v>
      </c>
      <c r="K7" s="52">
        <f>SUM(E3,I7,-J7)</f>
        <v>0</v>
      </c>
      <c r="L7" s="57">
        <f>SUM(C7,F7,I7)</f>
        <v>0</v>
      </c>
      <c r="M7" s="6">
        <f>SUM(E7,H7,K7)</f>
        <v>0</v>
      </c>
      <c r="O7" s="86"/>
    </row>
    <row r="8" spans="1:16" x14ac:dyDescent="0.25">
      <c r="A8" t="s">
        <v>4</v>
      </c>
      <c r="B8" s="56">
        <v>45567</v>
      </c>
      <c r="C8" s="52">
        <v>0</v>
      </c>
      <c r="D8" s="52">
        <v>0</v>
      </c>
      <c r="E8" s="52">
        <f>SUM(E7,C8,-D8)</f>
        <v>0</v>
      </c>
      <c r="F8" s="54">
        <v>5200</v>
      </c>
      <c r="G8" s="54">
        <v>0</v>
      </c>
      <c r="H8" s="54">
        <f>SUM(H7,F8,-G8)</f>
        <v>5200</v>
      </c>
      <c r="I8" s="52">
        <v>0</v>
      </c>
      <c r="J8" s="52">
        <v>0</v>
      </c>
      <c r="K8" s="52">
        <f>SUM(K7,I8,-J8)</f>
        <v>0</v>
      </c>
      <c r="L8" s="57">
        <f>SUM(C8,F8,I8)</f>
        <v>5200</v>
      </c>
      <c r="M8" s="6">
        <f t="shared" ref="M8:M37" si="0">SUM(E8,H8,K8)</f>
        <v>5200</v>
      </c>
      <c r="O8" s="86"/>
    </row>
    <row r="9" spans="1:16" x14ac:dyDescent="0.25">
      <c r="A9" t="s">
        <v>5</v>
      </c>
      <c r="B9" s="56">
        <v>45568</v>
      </c>
      <c r="C9" s="52">
        <v>3100</v>
      </c>
      <c r="D9" s="52">
        <v>0</v>
      </c>
      <c r="E9" s="52">
        <f t="shared" ref="E9:E37" si="1">SUM(E8,C9,-D9)</f>
        <v>3100</v>
      </c>
      <c r="F9" s="54">
        <v>20100</v>
      </c>
      <c r="G9" s="54">
        <v>5000</v>
      </c>
      <c r="H9" s="54">
        <f t="shared" ref="H9:H37" si="2">SUM(H8,F9,-G9)</f>
        <v>20300</v>
      </c>
      <c r="I9" s="52">
        <v>100</v>
      </c>
      <c r="J9" s="52">
        <v>0</v>
      </c>
      <c r="K9" s="52">
        <f t="shared" ref="K9:K37" si="3">SUM(K8,I9,-J9)</f>
        <v>100</v>
      </c>
      <c r="L9" s="57">
        <f t="shared" ref="L9:L37" si="4">SUM(C9,F9,I9)</f>
        <v>23300</v>
      </c>
      <c r="M9" s="6">
        <f t="shared" si="0"/>
        <v>23500</v>
      </c>
      <c r="O9" s="86"/>
    </row>
    <row r="10" spans="1:16" x14ac:dyDescent="0.25">
      <c r="A10" t="s">
        <v>6</v>
      </c>
      <c r="B10" s="56">
        <v>45569</v>
      </c>
      <c r="C10" s="52">
        <v>0</v>
      </c>
      <c r="D10" s="52">
        <v>0</v>
      </c>
      <c r="E10" s="52">
        <f t="shared" si="1"/>
        <v>3100</v>
      </c>
      <c r="F10" s="54">
        <v>20900</v>
      </c>
      <c r="G10" s="54">
        <v>0</v>
      </c>
      <c r="H10" s="54">
        <f t="shared" si="2"/>
        <v>41200</v>
      </c>
      <c r="I10" s="52">
        <v>0</v>
      </c>
      <c r="J10" s="52">
        <v>0</v>
      </c>
      <c r="K10" s="52">
        <f t="shared" si="3"/>
        <v>100</v>
      </c>
      <c r="L10" s="57">
        <f t="shared" si="4"/>
        <v>20900</v>
      </c>
      <c r="M10" s="6">
        <f t="shared" si="0"/>
        <v>44400</v>
      </c>
      <c r="O10" s="86"/>
    </row>
    <row r="11" spans="1:16" x14ac:dyDescent="0.25">
      <c r="A11" t="s">
        <v>7</v>
      </c>
      <c r="B11" s="56">
        <v>45570</v>
      </c>
      <c r="C11" s="52">
        <v>3100</v>
      </c>
      <c r="D11" s="52">
        <v>0</v>
      </c>
      <c r="E11" s="52">
        <f t="shared" si="1"/>
        <v>6200</v>
      </c>
      <c r="F11" s="54">
        <v>7900</v>
      </c>
      <c r="G11" s="54">
        <v>0</v>
      </c>
      <c r="H11" s="54">
        <f t="shared" si="2"/>
        <v>49100</v>
      </c>
      <c r="I11" s="52">
        <v>700</v>
      </c>
      <c r="J11" s="52">
        <v>0</v>
      </c>
      <c r="K11" s="52">
        <f t="shared" si="3"/>
        <v>800</v>
      </c>
      <c r="L11" s="57">
        <f t="shared" si="4"/>
        <v>11700</v>
      </c>
      <c r="M11" s="6">
        <f t="shared" si="0"/>
        <v>56100</v>
      </c>
      <c r="O11" s="86"/>
    </row>
    <row r="12" spans="1:16" x14ac:dyDescent="0.25">
      <c r="A12" t="s">
        <v>8</v>
      </c>
      <c r="B12" s="56">
        <v>45571</v>
      </c>
      <c r="C12" s="52">
        <v>0</v>
      </c>
      <c r="D12" s="52">
        <v>0</v>
      </c>
      <c r="E12" s="52">
        <f t="shared" si="1"/>
        <v>6200</v>
      </c>
      <c r="F12" s="54">
        <v>0</v>
      </c>
      <c r="G12" s="54">
        <v>0</v>
      </c>
      <c r="H12" s="54">
        <f t="shared" si="2"/>
        <v>49100</v>
      </c>
      <c r="I12" s="52">
        <v>0</v>
      </c>
      <c r="J12" s="52">
        <v>0</v>
      </c>
      <c r="K12" s="52">
        <f t="shared" si="3"/>
        <v>800</v>
      </c>
      <c r="L12" s="57">
        <f>SUM(C12,F12,I12)</f>
        <v>0</v>
      </c>
      <c r="M12" s="6">
        <f>SUM(E12,H12,K12)</f>
        <v>56100</v>
      </c>
      <c r="O12" s="86"/>
    </row>
    <row r="13" spans="1:16" x14ac:dyDescent="0.25">
      <c r="A13" t="s">
        <v>2</v>
      </c>
      <c r="B13" s="56">
        <v>45572</v>
      </c>
      <c r="C13" s="52">
        <v>0</v>
      </c>
      <c r="D13" s="52">
        <v>0</v>
      </c>
      <c r="E13" s="52">
        <f t="shared" si="1"/>
        <v>6200</v>
      </c>
      <c r="F13" s="54">
        <v>0</v>
      </c>
      <c r="G13" s="54">
        <v>0</v>
      </c>
      <c r="H13" s="54">
        <f t="shared" si="2"/>
        <v>49100</v>
      </c>
      <c r="I13" s="52">
        <v>0</v>
      </c>
      <c r="J13" s="52">
        <v>0</v>
      </c>
      <c r="K13" s="52">
        <f t="shared" si="3"/>
        <v>800</v>
      </c>
      <c r="L13" s="57">
        <f t="shared" si="4"/>
        <v>0</v>
      </c>
      <c r="M13" s="6">
        <f t="shared" si="0"/>
        <v>56100</v>
      </c>
      <c r="O13" s="86"/>
    </row>
    <row r="14" spans="1:16" x14ac:dyDescent="0.25">
      <c r="A14" t="s">
        <v>3</v>
      </c>
      <c r="B14" s="56">
        <v>45573</v>
      </c>
      <c r="C14" s="52">
        <v>0</v>
      </c>
      <c r="D14" s="52">
        <v>0</v>
      </c>
      <c r="E14" s="52">
        <f t="shared" si="1"/>
        <v>6200</v>
      </c>
      <c r="F14" s="54">
        <v>0</v>
      </c>
      <c r="G14" s="54">
        <v>0</v>
      </c>
      <c r="H14" s="54">
        <f t="shared" si="2"/>
        <v>49100</v>
      </c>
      <c r="I14" s="52">
        <v>0</v>
      </c>
      <c r="J14" s="52">
        <v>0</v>
      </c>
      <c r="K14" s="52">
        <f t="shared" si="3"/>
        <v>800</v>
      </c>
      <c r="L14" s="57">
        <f t="shared" si="4"/>
        <v>0</v>
      </c>
      <c r="M14" s="6">
        <f t="shared" si="0"/>
        <v>56100</v>
      </c>
      <c r="O14" s="86">
        <v>42700</v>
      </c>
    </row>
    <row r="15" spans="1:16" x14ac:dyDescent="0.25">
      <c r="A15" t="s">
        <v>4</v>
      </c>
      <c r="B15" s="56">
        <v>45574</v>
      </c>
      <c r="C15" s="52">
        <v>100</v>
      </c>
      <c r="D15" s="52">
        <v>0</v>
      </c>
      <c r="E15" s="52">
        <f t="shared" si="1"/>
        <v>6300</v>
      </c>
      <c r="F15" s="54">
        <v>2800</v>
      </c>
      <c r="G15" s="54">
        <v>0</v>
      </c>
      <c r="H15" s="54">
        <f t="shared" si="2"/>
        <v>51900</v>
      </c>
      <c r="I15" s="52">
        <v>0</v>
      </c>
      <c r="J15" s="52">
        <v>0</v>
      </c>
      <c r="K15" s="52">
        <f t="shared" si="3"/>
        <v>800</v>
      </c>
      <c r="L15" s="57">
        <f t="shared" si="4"/>
        <v>2900</v>
      </c>
      <c r="M15" s="6">
        <f t="shared" si="0"/>
        <v>59000</v>
      </c>
      <c r="O15" s="86">
        <v>52400</v>
      </c>
      <c r="P15">
        <v>600</v>
      </c>
    </row>
    <row r="16" spans="1:16" x14ac:dyDescent="0.25">
      <c r="A16" t="s">
        <v>5</v>
      </c>
      <c r="B16" s="56">
        <v>45575</v>
      </c>
      <c r="C16" s="52">
        <v>0</v>
      </c>
      <c r="D16" s="52">
        <v>0</v>
      </c>
      <c r="E16" s="52">
        <f t="shared" si="1"/>
        <v>6300</v>
      </c>
      <c r="F16" s="54">
        <v>0</v>
      </c>
      <c r="G16" s="54">
        <v>0</v>
      </c>
      <c r="H16" s="54">
        <f t="shared" si="2"/>
        <v>51900</v>
      </c>
      <c r="I16" s="52">
        <v>0</v>
      </c>
      <c r="J16" s="52">
        <v>0</v>
      </c>
      <c r="K16" s="52">
        <f t="shared" si="3"/>
        <v>800</v>
      </c>
      <c r="L16" s="57">
        <f t="shared" si="4"/>
        <v>0</v>
      </c>
      <c r="M16" s="6">
        <f t="shared" si="0"/>
        <v>59000</v>
      </c>
      <c r="O16" s="86">
        <v>67300</v>
      </c>
      <c r="P16">
        <v>200</v>
      </c>
    </row>
    <row r="17" spans="1:15" x14ac:dyDescent="0.25">
      <c r="A17" t="s">
        <v>6</v>
      </c>
      <c r="B17" s="56">
        <v>45576</v>
      </c>
      <c r="C17" s="52">
        <v>0</v>
      </c>
      <c r="D17" s="52">
        <v>0</v>
      </c>
      <c r="E17" s="52">
        <f t="shared" si="1"/>
        <v>6300</v>
      </c>
      <c r="F17" s="54">
        <v>0</v>
      </c>
      <c r="G17" s="54">
        <v>0</v>
      </c>
      <c r="H17" s="54">
        <f t="shared" si="2"/>
        <v>51900</v>
      </c>
      <c r="I17" s="52">
        <v>0</v>
      </c>
      <c r="J17" s="52">
        <v>0</v>
      </c>
      <c r="K17" s="52">
        <f t="shared" si="3"/>
        <v>800</v>
      </c>
      <c r="L17" s="57">
        <f t="shared" si="4"/>
        <v>0</v>
      </c>
      <c r="M17" s="6">
        <f t="shared" si="0"/>
        <v>59000</v>
      </c>
      <c r="O17" s="86"/>
    </row>
    <row r="18" spans="1:15" x14ac:dyDescent="0.25">
      <c r="A18" t="s">
        <v>7</v>
      </c>
      <c r="B18" s="56">
        <v>45577</v>
      </c>
      <c r="C18" s="52">
        <v>0</v>
      </c>
      <c r="D18" s="52">
        <v>0</v>
      </c>
      <c r="E18" s="52">
        <f t="shared" si="1"/>
        <v>6300</v>
      </c>
      <c r="F18" s="54">
        <v>0</v>
      </c>
      <c r="G18" s="54">
        <v>0</v>
      </c>
      <c r="H18" s="54">
        <f t="shared" si="2"/>
        <v>51900</v>
      </c>
      <c r="I18" s="52">
        <v>0</v>
      </c>
      <c r="J18" s="52">
        <v>0</v>
      </c>
      <c r="K18" s="52">
        <f t="shared" si="3"/>
        <v>800</v>
      </c>
      <c r="L18" s="57">
        <f t="shared" si="4"/>
        <v>0</v>
      </c>
      <c r="M18" s="6">
        <f t="shared" si="0"/>
        <v>59000</v>
      </c>
      <c r="O18" s="86">
        <v>90100</v>
      </c>
    </row>
    <row r="19" spans="1:15" x14ac:dyDescent="0.25">
      <c r="A19" t="s">
        <v>8</v>
      </c>
      <c r="B19" s="56">
        <v>45578</v>
      </c>
      <c r="C19" s="52">
        <v>0</v>
      </c>
      <c r="D19" s="52">
        <v>0</v>
      </c>
      <c r="E19" s="52">
        <f t="shared" si="1"/>
        <v>6300</v>
      </c>
      <c r="F19" s="54">
        <v>0</v>
      </c>
      <c r="G19" s="54">
        <v>0</v>
      </c>
      <c r="H19" s="54">
        <f t="shared" si="2"/>
        <v>51900</v>
      </c>
      <c r="I19" s="52">
        <v>0</v>
      </c>
      <c r="J19" s="52">
        <v>0</v>
      </c>
      <c r="K19" s="52">
        <f t="shared" si="3"/>
        <v>800</v>
      </c>
      <c r="L19" s="57">
        <f t="shared" si="4"/>
        <v>0</v>
      </c>
      <c r="M19" s="6">
        <f t="shared" si="0"/>
        <v>59000</v>
      </c>
      <c r="O19" s="86"/>
    </row>
    <row r="20" spans="1:15" x14ac:dyDescent="0.25">
      <c r="A20" t="s">
        <v>2</v>
      </c>
      <c r="B20" s="56">
        <v>45579</v>
      </c>
      <c r="C20" s="52">
        <v>0</v>
      </c>
      <c r="D20" s="52">
        <v>0</v>
      </c>
      <c r="E20" s="52">
        <f t="shared" si="1"/>
        <v>6300</v>
      </c>
      <c r="F20" s="54">
        <v>0</v>
      </c>
      <c r="G20" s="54">
        <v>0</v>
      </c>
      <c r="H20" s="54">
        <f t="shared" si="2"/>
        <v>51900</v>
      </c>
      <c r="I20" s="52">
        <v>0</v>
      </c>
      <c r="J20" s="52">
        <v>0</v>
      </c>
      <c r="K20" s="52">
        <f t="shared" si="3"/>
        <v>800</v>
      </c>
      <c r="L20" s="57">
        <f t="shared" si="4"/>
        <v>0</v>
      </c>
      <c r="M20" s="6">
        <f t="shared" si="0"/>
        <v>59000</v>
      </c>
      <c r="O20" s="86"/>
    </row>
    <row r="21" spans="1:15" x14ac:dyDescent="0.25">
      <c r="A21" t="s">
        <v>3</v>
      </c>
      <c r="B21" s="56">
        <v>45580</v>
      </c>
      <c r="C21" s="52">
        <v>0</v>
      </c>
      <c r="D21" s="52">
        <v>0</v>
      </c>
      <c r="E21" s="52">
        <f t="shared" si="1"/>
        <v>6300</v>
      </c>
      <c r="F21" s="54">
        <v>0</v>
      </c>
      <c r="G21" s="54">
        <v>0</v>
      </c>
      <c r="H21" s="54">
        <f t="shared" si="2"/>
        <v>51900</v>
      </c>
      <c r="I21" s="52">
        <v>0</v>
      </c>
      <c r="J21" s="52">
        <v>0</v>
      </c>
      <c r="K21" s="52">
        <f t="shared" si="3"/>
        <v>800</v>
      </c>
      <c r="L21" s="57">
        <f t="shared" si="4"/>
        <v>0</v>
      </c>
      <c r="M21" s="6">
        <f t="shared" si="0"/>
        <v>59000</v>
      </c>
      <c r="O21" s="86"/>
    </row>
    <row r="22" spans="1:15" x14ac:dyDescent="0.25">
      <c r="A22" t="s">
        <v>4</v>
      </c>
      <c r="B22" s="56">
        <v>45581</v>
      </c>
      <c r="C22" s="52">
        <v>0</v>
      </c>
      <c r="D22" s="52">
        <v>0</v>
      </c>
      <c r="E22" s="52">
        <f t="shared" si="1"/>
        <v>6300</v>
      </c>
      <c r="F22" s="54">
        <v>0</v>
      </c>
      <c r="G22" s="54">
        <v>0</v>
      </c>
      <c r="H22" s="54">
        <f t="shared" si="2"/>
        <v>51900</v>
      </c>
      <c r="I22" s="52">
        <v>0</v>
      </c>
      <c r="J22" s="52">
        <v>0</v>
      </c>
      <c r="K22" s="52">
        <f t="shared" si="3"/>
        <v>800</v>
      </c>
      <c r="L22" s="57">
        <f t="shared" si="4"/>
        <v>0</v>
      </c>
      <c r="M22" s="6">
        <f t="shared" si="0"/>
        <v>59000</v>
      </c>
      <c r="O22" s="86"/>
    </row>
    <row r="23" spans="1:15" x14ac:dyDescent="0.25">
      <c r="A23" t="s">
        <v>5</v>
      </c>
      <c r="B23" s="56">
        <v>45582</v>
      </c>
      <c r="C23" s="52">
        <v>0</v>
      </c>
      <c r="D23" s="52">
        <v>0</v>
      </c>
      <c r="E23" s="52">
        <f t="shared" si="1"/>
        <v>6300</v>
      </c>
      <c r="F23" s="54">
        <v>0</v>
      </c>
      <c r="G23" s="54">
        <v>0</v>
      </c>
      <c r="H23" s="54">
        <f t="shared" si="2"/>
        <v>51900</v>
      </c>
      <c r="I23" s="52">
        <v>0</v>
      </c>
      <c r="J23" s="52">
        <v>0</v>
      </c>
      <c r="K23" s="52">
        <f t="shared" si="3"/>
        <v>800</v>
      </c>
      <c r="L23" s="57">
        <f t="shared" si="4"/>
        <v>0</v>
      </c>
      <c r="M23" s="6">
        <f t="shared" si="0"/>
        <v>59000</v>
      </c>
      <c r="O23" s="86"/>
    </row>
    <row r="24" spans="1:15" x14ac:dyDescent="0.25">
      <c r="A24" t="s">
        <v>6</v>
      </c>
      <c r="B24" s="56">
        <v>45583</v>
      </c>
      <c r="C24" s="52">
        <v>0</v>
      </c>
      <c r="D24" s="52">
        <v>0</v>
      </c>
      <c r="E24" s="52">
        <f t="shared" si="1"/>
        <v>6300</v>
      </c>
      <c r="F24" s="54">
        <v>0</v>
      </c>
      <c r="G24" s="54">
        <v>0</v>
      </c>
      <c r="H24" s="54">
        <f t="shared" si="2"/>
        <v>51900</v>
      </c>
      <c r="I24" s="52">
        <v>0</v>
      </c>
      <c r="J24" s="52">
        <v>0</v>
      </c>
      <c r="K24" s="52">
        <f t="shared" si="3"/>
        <v>800</v>
      </c>
      <c r="L24" s="57">
        <f t="shared" si="4"/>
        <v>0</v>
      </c>
      <c r="M24" s="6">
        <f t="shared" si="0"/>
        <v>59000</v>
      </c>
      <c r="O24" s="86"/>
    </row>
    <row r="25" spans="1:15" x14ac:dyDescent="0.25">
      <c r="A25" t="s">
        <v>7</v>
      </c>
      <c r="B25" s="56">
        <v>45584</v>
      </c>
      <c r="C25" s="52">
        <v>0</v>
      </c>
      <c r="D25" s="52">
        <v>0</v>
      </c>
      <c r="E25" s="52">
        <f t="shared" si="1"/>
        <v>6300</v>
      </c>
      <c r="F25" s="54">
        <v>0</v>
      </c>
      <c r="G25" s="54">
        <v>0</v>
      </c>
      <c r="H25" s="54">
        <f t="shared" si="2"/>
        <v>51900</v>
      </c>
      <c r="I25" s="52">
        <v>0</v>
      </c>
      <c r="J25" s="52">
        <v>0</v>
      </c>
      <c r="K25" s="52">
        <f t="shared" si="3"/>
        <v>800</v>
      </c>
      <c r="L25" s="57">
        <f t="shared" si="4"/>
        <v>0</v>
      </c>
      <c r="M25" s="6">
        <f t="shared" si="0"/>
        <v>59000</v>
      </c>
      <c r="O25" s="86"/>
    </row>
    <row r="26" spans="1:15" x14ac:dyDescent="0.25">
      <c r="A26" t="s">
        <v>8</v>
      </c>
      <c r="B26" s="56">
        <v>45585</v>
      </c>
      <c r="C26" s="52">
        <v>0</v>
      </c>
      <c r="D26" s="52">
        <v>0</v>
      </c>
      <c r="E26" s="52">
        <f t="shared" si="1"/>
        <v>6300</v>
      </c>
      <c r="F26" s="54">
        <v>0</v>
      </c>
      <c r="G26" s="54">
        <v>0</v>
      </c>
      <c r="H26" s="54">
        <f t="shared" si="2"/>
        <v>51900</v>
      </c>
      <c r="I26" s="52">
        <v>0</v>
      </c>
      <c r="J26" s="52">
        <v>0</v>
      </c>
      <c r="K26" s="52">
        <f t="shared" si="3"/>
        <v>800</v>
      </c>
      <c r="L26" s="57">
        <f t="shared" si="4"/>
        <v>0</v>
      </c>
      <c r="M26" s="6">
        <f t="shared" si="0"/>
        <v>59000</v>
      </c>
      <c r="O26" s="86"/>
    </row>
    <row r="27" spans="1:15" x14ac:dyDescent="0.25">
      <c r="A27" t="s">
        <v>2</v>
      </c>
      <c r="B27" s="56">
        <v>45586</v>
      </c>
      <c r="C27" s="52">
        <v>0</v>
      </c>
      <c r="D27" s="52">
        <v>0</v>
      </c>
      <c r="E27" s="52">
        <f t="shared" si="1"/>
        <v>6300</v>
      </c>
      <c r="F27" s="54">
        <v>0</v>
      </c>
      <c r="G27" s="54">
        <v>0</v>
      </c>
      <c r="H27" s="54">
        <f t="shared" si="2"/>
        <v>51900</v>
      </c>
      <c r="I27" s="52">
        <v>0</v>
      </c>
      <c r="J27" s="52">
        <v>0</v>
      </c>
      <c r="K27" s="52">
        <f t="shared" si="3"/>
        <v>800</v>
      </c>
      <c r="L27" s="57">
        <f t="shared" si="4"/>
        <v>0</v>
      </c>
      <c r="M27" s="6">
        <f t="shared" si="0"/>
        <v>59000</v>
      </c>
      <c r="O27" s="86"/>
    </row>
    <row r="28" spans="1:15" x14ac:dyDescent="0.25">
      <c r="A28" t="s">
        <v>3</v>
      </c>
      <c r="B28" s="56">
        <v>45587</v>
      </c>
      <c r="C28" s="52">
        <v>0</v>
      </c>
      <c r="D28" s="52">
        <v>0</v>
      </c>
      <c r="E28" s="52">
        <f t="shared" si="1"/>
        <v>6300</v>
      </c>
      <c r="F28" s="54">
        <v>0</v>
      </c>
      <c r="G28" s="54">
        <v>0</v>
      </c>
      <c r="H28" s="54">
        <f t="shared" si="2"/>
        <v>51900</v>
      </c>
      <c r="I28" s="52">
        <v>0</v>
      </c>
      <c r="J28" s="52">
        <v>0</v>
      </c>
      <c r="K28" s="52">
        <f t="shared" si="3"/>
        <v>800</v>
      </c>
      <c r="L28" s="57">
        <f t="shared" si="4"/>
        <v>0</v>
      </c>
      <c r="M28" s="6">
        <f t="shared" si="0"/>
        <v>59000</v>
      </c>
      <c r="O28" s="86"/>
    </row>
    <row r="29" spans="1:15" x14ac:dyDescent="0.25">
      <c r="A29" t="s">
        <v>4</v>
      </c>
      <c r="B29" s="56">
        <v>45588</v>
      </c>
      <c r="C29" s="52">
        <v>0</v>
      </c>
      <c r="D29" s="52">
        <v>0</v>
      </c>
      <c r="E29" s="52">
        <f t="shared" si="1"/>
        <v>6300</v>
      </c>
      <c r="F29" s="54">
        <v>0</v>
      </c>
      <c r="G29" s="54">
        <v>0</v>
      </c>
      <c r="H29" s="54">
        <f t="shared" si="2"/>
        <v>51900</v>
      </c>
      <c r="I29" s="52">
        <v>0</v>
      </c>
      <c r="J29" s="52">
        <v>0</v>
      </c>
      <c r="K29" s="52">
        <f t="shared" si="3"/>
        <v>800</v>
      </c>
      <c r="L29" s="57">
        <f t="shared" si="4"/>
        <v>0</v>
      </c>
      <c r="M29" s="6">
        <f t="shared" si="0"/>
        <v>59000</v>
      </c>
      <c r="O29" s="86"/>
    </row>
    <row r="30" spans="1:15" x14ac:dyDescent="0.25">
      <c r="A30" t="s">
        <v>5</v>
      </c>
      <c r="B30" s="56">
        <v>45589</v>
      </c>
      <c r="C30" s="52">
        <v>0</v>
      </c>
      <c r="D30" s="52">
        <v>0</v>
      </c>
      <c r="E30" s="52">
        <f t="shared" si="1"/>
        <v>6300</v>
      </c>
      <c r="F30" s="54">
        <v>0</v>
      </c>
      <c r="G30" s="54">
        <v>0</v>
      </c>
      <c r="H30" s="54">
        <f t="shared" si="2"/>
        <v>51900</v>
      </c>
      <c r="I30" s="52">
        <v>0</v>
      </c>
      <c r="J30" s="52">
        <v>0</v>
      </c>
      <c r="K30" s="52">
        <f t="shared" si="3"/>
        <v>800</v>
      </c>
      <c r="L30" s="57">
        <f t="shared" si="4"/>
        <v>0</v>
      </c>
      <c r="M30" s="6">
        <f t="shared" si="0"/>
        <v>59000</v>
      </c>
      <c r="O30" s="86"/>
    </row>
    <row r="31" spans="1:15" x14ac:dyDescent="0.25">
      <c r="A31" t="s">
        <v>6</v>
      </c>
      <c r="B31" s="56">
        <v>45590</v>
      </c>
      <c r="C31" s="52">
        <v>0</v>
      </c>
      <c r="D31" s="52">
        <v>0</v>
      </c>
      <c r="E31" s="52">
        <f t="shared" si="1"/>
        <v>6300</v>
      </c>
      <c r="F31" s="54">
        <v>0</v>
      </c>
      <c r="G31" s="54">
        <v>0</v>
      </c>
      <c r="H31" s="54">
        <f t="shared" si="2"/>
        <v>51900</v>
      </c>
      <c r="I31" s="52">
        <v>0</v>
      </c>
      <c r="J31" s="52">
        <v>0</v>
      </c>
      <c r="K31" s="52">
        <f t="shared" si="3"/>
        <v>800</v>
      </c>
      <c r="L31" s="57">
        <f t="shared" si="4"/>
        <v>0</v>
      </c>
      <c r="M31" s="6">
        <f t="shared" si="0"/>
        <v>59000</v>
      </c>
      <c r="O31" s="86"/>
    </row>
    <row r="32" spans="1:15" x14ac:dyDescent="0.25">
      <c r="A32" t="s">
        <v>7</v>
      </c>
      <c r="B32" s="56">
        <v>45591</v>
      </c>
      <c r="C32" s="52">
        <v>0</v>
      </c>
      <c r="D32" s="52">
        <v>0</v>
      </c>
      <c r="E32" s="52">
        <f t="shared" si="1"/>
        <v>6300</v>
      </c>
      <c r="F32" s="54">
        <v>0</v>
      </c>
      <c r="G32" s="54">
        <v>0</v>
      </c>
      <c r="H32" s="54">
        <f t="shared" si="2"/>
        <v>51900</v>
      </c>
      <c r="I32" s="52">
        <v>0</v>
      </c>
      <c r="J32" s="52">
        <v>0</v>
      </c>
      <c r="K32" s="52">
        <f t="shared" si="3"/>
        <v>800</v>
      </c>
      <c r="L32" s="57">
        <f t="shared" si="4"/>
        <v>0</v>
      </c>
      <c r="M32" s="6">
        <f t="shared" si="0"/>
        <v>59000</v>
      </c>
      <c r="O32" s="86"/>
    </row>
    <row r="33" spans="1:15" x14ac:dyDescent="0.25">
      <c r="A33" t="s">
        <v>8</v>
      </c>
      <c r="B33" s="56">
        <v>45592</v>
      </c>
      <c r="C33" s="52">
        <v>0</v>
      </c>
      <c r="D33" s="52">
        <v>0</v>
      </c>
      <c r="E33" s="52">
        <f t="shared" si="1"/>
        <v>6300</v>
      </c>
      <c r="F33" s="54">
        <v>0</v>
      </c>
      <c r="G33" s="54">
        <v>0</v>
      </c>
      <c r="H33" s="54">
        <f t="shared" si="2"/>
        <v>51900</v>
      </c>
      <c r="I33" s="52">
        <v>0</v>
      </c>
      <c r="J33" s="52">
        <v>0</v>
      </c>
      <c r="K33" s="52">
        <f t="shared" si="3"/>
        <v>800</v>
      </c>
      <c r="L33" s="57">
        <f t="shared" si="4"/>
        <v>0</v>
      </c>
      <c r="M33" s="6">
        <f t="shared" si="0"/>
        <v>59000</v>
      </c>
      <c r="O33" s="86"/>
    </row>
    <row r="34" spans="1:15" x14ac:dyDescent="0.25">
      <c r="A34" t="s">
        <v>2</v>
      </c>
      <c r="B34" s="56">
        <v>45593</v>
      </c>
      <c r="C34" s="52">
        <v>0</v>
      </c>
      <c r="D34" s="52">
        <v>0</v>
      </c>
      <c r="E34" s="52">
        <f t="shared" si="1"/>
        <v>6300</v>
      </c>
      <c r="F34" s="54">
        <v>0</v>
      </c>
      <c r="G34" s="54">
        <v>0</v>
      </c>
      <c r="H34" s="54">
        <f t="shared" si="2"/>
        <v>51900</v>
      </c>
      <c r="I34" s="52">
        <v>0</v>
      </c>
      <c r="J34" s="52">
        <v>0</v>
      </c>
      <c r="K34" s="52">
        <f t="shared" si="3"/>
        <v>800</v>
      </c>
      <c r="L34" s="57">
        <f t="shared" si="4"/>
        <v>0</v>
      </c>
      <c r="M34" s="6">
        <f t="shared" si="0"/>
        <v>59000</v>
      </c>
      <c r="O34" s="86"/>
    </row>
    <row r="35" spans="1:15" x14ac:dyDescent="0.25">
      <c r="A35" t="s">
        <v>3</v>
      </c>
      <c r="B35" s="56">
        <v>45594</v>
      </c>
      <c r="C35" s="52">
        <v>0</v>
      </c>
      <c r="D35" s="52">
        <v>0</v>
      </c>
      <c r="E35" s="52">
        <f t="shared" si="1"/>
        <v>6300</v>
      </c>
      <c r="F35" s="54">
        <v>0</v>
      </c>
      <c r="G35" s="54">
        <v>0</v>
      </c>
      <c r="H35" s="54">
        <f t="shared" si="2"/>
        <v>51900</v>
      </c>
      <c r="I35" s="52">
        <v>0</v>
      </c>
      <c r="J35" s="52">
        <v>0</v>
      </c>
      <c r="K35" s="52">
        <f t="shared" si="3"/>
        <v>800</v>
      </c>
      <c r="L35" s="57">
        <f t="shared" si="4"/>
        <v>0</v>
      </c>
      <c r="M35" s="6">
        <f t="shared" si="0"/>
        <v>59000</v>
      </c>
      <c r="O35" s="86"/>
    </row>
    <row r="36" spans="1:15" x14ac:dyDescent="0.25">
      <c r="A36" t="s">
        <v>4</v>
      </c>
      <c r="B36" s="56">
        <v>45595</v>
      </c>
      <c r="C36" s="52">
        <v>0</v>
      </c>
      <c r="D36" s="52">
        <v>0</v>
      </c>
      <c r="E36" s="52">
        <f t="shared" si="1"/>
        <v>6300</v>
      </c>
      <c r="F36" s="54">
        <v>0</v>
      </c>
      <c r="G36" s="54">
        <v>0</v>
      </c>
      <c r="H36" s="54">
        <f t="shared" si="2"/>
        <v>51900</v>
      </c>
      <c r="I36" s="52">
        <v>0</v>
      </c>
      <c r="J36" s="52">
        <v>0</v>
      </c>
      <c r="K36" s="52">
        <f t="shared" si="3"/>
        <v>800</v>
      </c>
      <c r="L36" s="57">
        <f t="shared" si="4"/>
        <v>0</v>
      </c>
      <c r="M36" s="6">
        <f t="shared" si="0"/>
        <v>59000</v>
      </c>
      <c r="O36" s="86"/>
    </row>
    <row r="37" spans="1:15" x14ac:dyDescent="0.25">
      <c r="A37" t="s">
        <v>5</v>
      </c>
      <c r="B37" s="56">
        <v>45596</v>
      </c>
      <c r="C37" s="52">
        <v>0</v>
      </c>
      <c r="D37" s="52">
        <v>0</v>
      </c>
      <c r="E37" s="52">
        <f t="shared" si="1"/>
        <v>6300</v>
      </c>
      <c r="F37" s="54">
        <v>0</v>
      </c>
      <c r="G37" s="54">
        <v>0</v>
      </c>
      <c r="H37" s="54">
        <f t="shared" si="2"/>
        <v>51900</v>
      </c>
      <c r="I37" s="52">
        <v>0</v>
      </c>
      <c r="J37" s="52">
        <v>0</v>
      </c>
      <c r="K37" s="52">
        <f t="shared" si="3"/>
        <v>800</v>
      </c>
      <c r="L37" s="57">
        <f t="shared" si="4"/>
        <v>0</v>
      </c>
      <c r="M37" s="6">
        <f t="shared" si="0"/>
        <v>59000</v>
      </c>
      <c r="O37" s="86"/>
    </row>
    <row r="38" spans="1:15" x14ac:dyDescent="0.25">
      <c r="B38" s="17" t="s">
        <v>26</v>
      </c>
      <c r="C38" s="43">
        <f>SUM(C7:C37)</f>
        <v>6300</v>
      </c>
      <c r="D38" s="43">
        <f>SUM(D7:D37)</f>
        <v>0</v>
      </c>
      <c r="E38" s="43"/>
      <c r="F38" s="43">
        <f t="shared" ref="F38:I38" si="5">SUM(F7:F37)</f>
        <v>56900</v>
      </c>
      <c r="G38" s="43">
        <f t="shared" si="5"/>
        <v>5000</v>
      </c>
      <c r="H38" s="43"/>
      <c r="I38" s="43">
        <f t="shared" si="5"/>
        <v>800</v>
      </c>
      <c r="J38" s="43">
        <f>SUM(J7:J37)</f>
        <v>0</v>
      </c>
      <c r="K38" s="43"/>
      <c r="L38" s="43">
        <f>SUM(L7:L37)</f>
        <v>64000</v>
      </c>
      <c r="M38" s="43"/>
    </row>
    <row r="39" spans="1:15" x14ac:dyDescent="0.25">
      <c r="D39" s="19" t="s">
        <v>38</v>
      </c>
      <c r="E39" s="23">
        <f>E37</f>
        <v>6300</v>
      </c>
      <c r="G39" s="19" t="s">
        <v>39</v>
      </c>
      <c r="H39" s="23">
        <f>H37</f>
        <v>51900</v>
      </c>
      <c r="J39" s="19" t="s">
        <v>40</v>
      </c>
      <c r="K39" s="23">
        <f>K37</f>
        <v>800</v>
      </c>
      <c r="L39" s="23">
        <f>SUM(E39,H39,K39,)</f>
        <v>59000</v>
      </c>
      <c r="M39" s="44">
        <f>M37</f>
        <v>59000</v>
      </c>
    </row>
  </sheetData>
  <mergeCells count="7">
    <mergeCell ref="O5:O6"/>
    <mergeCell ref="A3:B3"/>
    <mergeCell ref="M5:M6"/>
    <mergeCell ref="L5:L6"/>
    <mergeCell ref="C5:E5"/>
    <mergeCell ref="F5:H5"/>
    <mergeCell ref="I5:K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I36"/>
  <sheetViews>
    <sheetView topLeftCell="P3" workbookViewId="0">
      <selection activeCell="AG7" sqref="AG7"/>
    </sheetView>
  </sheetViews>
  <sheetFormatPr defaultRowHeight="15" x14ac:dyDescent="0.25"/>
  <cols>
    <col min="2" max="2" width="10.7109375" bestFit="1" customWidth="1"/>
    <col min="9" max="9" width="12.140625" customWidth="1"/>
    <col min="12" max="12" width="10.7109375" bestFit="1" customWidth="1"/>
    <col min="14" max="14" width="9.140625" hidden="1" customWidth="1"/>
    <col min="15" max="15" width="23.28515625" customWidth="1"/>
    <col min="16" max="16" width="10.7109375" bestFit="1" customWidth="1"/>
    <col min="17" max="17" width="10.7109375" customWidth="1"/>
    <col min="27" max="27" width="18" bestFit="1" customWidth="1"/>
    <col min="28" max="28" width="10.7109375" bestFit="1" customWidth="1"/>
    <col min="29" max="29" width="10.85546875" bestFit="1" customWidth="1"/>
    <col min="33" max="33" width="10.85546875" bestFit="1" customWidth="1"/>
  </cols>
  <sheetData>
    <row r="3" spans="1:35" ht="15.75" thickBot="1" x14ac:dyDescent="0.3"/>
    <row r="4" spans="1:35" x14ac:dyDescent="0.25">
      <c r="A4" s="16" t="s">
        <v>44</v>
      </c>
      <c r="C4" s="66" t="s">
        <v>45</v>
      </c>
      <c r="D4" s="67" t="s">
        <v>46</v>
      </c>
      <c r="E4" s="68" t="s">
        <v>45</v>
      </c>
      <c r="F4" s="68" t="s">
        <v>46</v>
      </c>
      <c r="G4" s="72" t="s">
        <v>45</v>
      </c>
      <c r="H4" s="73" t="s">
        <v>46</v>
      </c>
      <c r="I4" s="5" t="s">
        <v>26</v>
      </c>
      <c r="O4" s="16" t="s">
        <v>48</v>
      </c>
      <c r="Q4" s="5" t="s">
        <v>49</v>
      </c>
      <c r="R4" s="5" t="s">
        <v>45</v>
      </c>
      <c r="S4" s="5" t="s">
        <v>46</v>
      </c>
      <c r="AA4" s="79" t="s">
        <v>47</v>
      </c>
      <c r="AB4" s="58"/>
      <c r="AC4" s="78" t="s">
        <v>45</v>
      </c>
      <c r="AD4" s="68" t="s">
        <v>46</v>
      </c>
      <c r="AE4" s="77" t="s">
        <v>45</v>
      </c>
      <c r="AF4" s="77" t="s">
        <v>46</v>
      </c>
      <c r="AG4" s="68" t="s">
        <v>45</v>
      </c>
      <c r="AH4" s="68" t="s">
        <v>46</v>
      </c>
      <c r="AI4" s="74" t="s">
        <v>26</v>
      </c>
    </row>
    <row r="5" spans="1:35" x14ac:dyDescent="0.25">
      <c r="A5" t="s">
        <v>3</v>
      </c>
      <c r="B5" s="1">
        <v>45566</v>
      </c>
      <c r="C5" s="89" t="s">
        <v>77</v>
      </c>
      <c r="D5" s="90">
        <v>10000</v>
      </c>
      <c r="E5" s="90" t="s">
        <v>61</v>
      </c>
      <c r="F5" s="90">
        <v>6100</v>
      </c>
      <c r="G5" s="90"/>
      <c r="H5" s="91"/>
      <c r="I5" s="5">
        <f>SUM(D5,F5,H5,)</f>
        <v>16100</v>
      </c>
      <c r="K5" s="88"/>
      <c r="O5" t="s">
        <v>5</v>
      </c>
      <c r="P5" s="1">
        <v>45505</v>
      </c>
      <c r="Q5" s="1"/>
      <c r="S5">
        <v>0</v>
      </c>
      <c r="AA5" s="37" t="s">
        <v>3</v>
      </c>
      <c r="AB5" s="80">
        <v>45566</v>
      </c>
      <c r="AC5" s="60"/>
      <c r="AD5" s="61">
        <v>0</v>
      </c>
      <c r="AE5" s="51"/>
      <c r="AF5" s="51">
        <v>0</v>
      </c>
      <c r="AG5" s="61"/>
      <c r="AH5" s="61">
        <v>0</v>
      </c>
      <c r="AI5" s="75">
        <f>SUM(AD5,AF5,AH5,)</f>
        <v>0</v>
      </c>
    </row>
    <row r="6" spans="1:35" x14ac:dyDescent="0.25">
      <c r="A6" t="s">
        <v>4</v>
      </c>
      <c r="B6" s="1">
        <v>45567</v>
      </c>
      <c r="C6" s="63"/>
      <c r="D6" s="51">
        <v>0</v>
      </c>
      <c r="E6" s="59"/>
      <c r="F6" s="59">
        <v>0</v>
      </c>
      <c r="G6" s="51"/>
      <c r="H6" s="69">
        <v>0</v>
      </c>
      <c r="I6" s="5">
        <f t="shared" ref="I6:I35" si="0">SUM(D6,F6,H6,)</f>
        <v>0</v>
      </c>
      <c r="O6" t="s">
        <v>6</v>
      </c>
      <c r="P6" s="1">
        <v>45506</v>
      </c>
      <c r="Q6" s="1"/>
      <c r="S6">
        <v>0</v>
      </c>
      <c r="AA6" s="37" t="s">
        <v>4</v>
      </c>
      <c r="AB6" s="80">
        <v>45567</v>
      </c>
      <c r="AC6" s="60"/>
      <c r="AD6" s="61">
        <v>0</v>
      </c>
      <c r="AE6" s="51"/>
      <c r="AF6" s="51">
        <v>0</v>
      </c>
      <c r="AG6" s="61"/>
      <c r="AH6" s="61">
        <v>0</v>
      </c>
      <c r="AI6" s="75">
        <f t="shared" ref="AI6:AI34" si="1">SUM(AD6,AF6,AH6,)</f>
        <v>0</v>
      </c>
    </row>
    <row r="7" spans="1:35" x14ac:dyDescent="0.25">
      <c r="A7" t="s">
        <v>5</v>
      </c>
      <c r="B7" s="1">
        <v>45568</v>
      </c>
      <c r="C7" s="63"/>
      <c r="D7" s="51">
        <v>0</v>
      </c>
      <c r="E7" s="59"/>
      <c r="F7" s="59">
        <v>0</v>
      </c>
      <c r="G7" s="51"/>
      <c r="H7" s="69">
        <v>0</v>
      </c>
      <c r="I7" s="5">
        <f t="shared" si="0"/>
        <v>0</v>
      </c>
      <c r="O7" t="s">
        <v>7</v>
      </c>
      <c r="P7" s="1">
        <v>45507</v>
      </c>
      <c r="Q7" s="1"/>
      <c r="S7">
        <v>0</v>
      </c>
      <c r="AA7" s="37" t="s">
        <v>5</v>
      </c>
      <c r="AB7" s="80">
        <v>45568</v>
      </c>
      <c r="AC7" s="60" t="s">
        <v>80</v>
      </c>
      <c r="AD7" s="61">
        <v>3000</v>
      </c>
      <c r="AE7" s="51" t="s">
        <v>81</v>
      </c>
      <c r="AF7" s="51">
        <v>2000</v>
      </c>
      <c r="AG7" s="61"/>
      <c r="AH7" s="61">
        <v>0</v>
      </c>
      <c r="AI7" s="75">
        <f t="shared" si="1"/>
        <v>5000</v>
      </c>
    </row>
    <row r="8" spans="1:35" x14ac:dyDescent="0.25">
      <c r="A8" t="s">
        <v>6</v>
      </c>
      <c r="B8" s="1">
        <v>45569</v>
      </c>
      <c r="C8" s="63"/>
      <c r="D8" s="51">
        <v>0</v>
      </c>
      <c r="E8" s="59"/>
      <c r="F8" s="59">
        <v>0</v>
      </c>
      <c r="G8" s="51"/>
      <c r="H8" s="69">
        <v>0</v>
      </c>
      <c r="I8" s="5">
        <f t="shared" si="0"/>
        <v>0</v>
      </c>
      <c r="O8" t="s">
        <v>8</v>
      </c>
      <c r="P8" s="1">
        <v>45508</v>
      </c>
      <c r="Q8" s="1"/>
      <c r="S8">
        <v>0</v>
      </c>
      <c r="AA8" s="37" t="s">
        <v>6</v>
      </c>
      <c r="AB8" s="80">
        <v>45569</v>
      </c>
      <c r="AC8" s="60"/>
      <c r="AD8" s="61">
        <v>0</v>
      </c>
      <c r="AE8" s="51"/>
      <c r="AF8" s="51">
        <v>0</v>
      </c>
      <c r="AG8" s="61"/>
      <c r="AH8" s="61">
        <v>0</v>
      </c>
      <c r="AI8" s="75">
        <f t="shared" si="1"/>
        <v>0</v>
      </c>
    </row>
    <row r="9" spans="1:35" x14ac:dyDescent="0.25">
      <c r="A9" t="s">
        <v>7</v>
      </c>
      <c r="B9" s="1">
        <v>45570</v>
      </c>
      <c r="C9" s="63"/>
      <c r="D9" s="51">
        <v>0</v>
      </c>
      <c r="E9" s="59"/>
      <c r="F9" s="59">
        <v>0</v>
      </c>
      <c r="G9" s="51"/>
      <c r="H9" s="69">
        <v>0</v>
      </c>
      <c r="I9" s="5">
        <f t="shared" si="0"/>
        <v>0</v>
      </c>
      <c r="O9" t="s">
        <v>2</v>
      </c>
      <c r="P9" s="1">
        <v>45509</v>
      </c>
      <c r="Q9" s="1"/>
      <c r="S9">
        <v>0</v>
      </c>
      <c r="AA9" s="37" t="s">
        <v>7</v>
      </c>
      <c r="AB9" s="80">
        <v>45570</v>
      </c>
      <c r="AC9" s="60"/>
      <c r="AD9" s="61">
        <v>0</v>
      </c>
      <c r="AE9" s="51"/>
      <c r="AF9" s="51">
        <v>0</v>
      </c>
      <c r="AG9" s="61"/>
      <c r="AH9" s="61">
        <v>0</v>
      </c>
      <c r="AI9" s="75">
        <f t="shared" si="1"/>
        <v>0</v>
      </c>
    </row>
    <row r="10" spans="1:35" x14ac:dyDescent="0.25">
      <c r="A10" t="s">
        <v>8</v>
      </c>
      <c r="B10" s="1">
        <v>45571</v>
      </c>
      <c r="C10" s="63"/>
      <c r="D10" s="51">
        <v>0</v>
      </c>
      <c r="E10" s="59"/>
      <c r="F10" s="59">
        <v>0</v>
      </c>
      <c r="G10" s="51"/>
      <c r="H10" s="69">
        <v>0</v>
      </c>
      <c r="I10" s="5">
        <f t="shared" si="0"/>
        <v>0</v>
      </c>
      <c r="O10" t="s">
        <v>3</v>
      </c>
      <c r="P10" s="1">
        <v>45510</v>
      </c>
      <c r="Q10" s="1"/>
      <c r="S10">
        <v>0</v>
      </c>
      <c r="AA10" s="37" t="s">
        <v>8</v>
      </c>
      <c r="AB10" s="80">
        <v>45571</v>
      </c>
      <c r="AC10" s="60"/>
      <c r="AD10" s="61">
        <v>0</v>
      </c>
      <c r="AE10" s="51"/>
      <c r="AF10" s="51">
        <v>0</v>
      </c>
      <c r="AG10" s="61"/>
      <c r="AH10" s="61">
        <v>0</v>
      </c>
      <c r="AI10" s="75">
        <f t="shared" si="1"/>
        <v>0</v>
      </c>
    </row>
    <row r="11" spans="1:35" x14ac:dyDescent="0.25">
      <c r="A11" t="s">
        <v>2</v>
      </c>
      <c r="B11" s="1">
        <v>45572</v>
      </c>
      <c r="C11" s="63"/>
      <c r="D11" s="51">
        <v>0</v>
      </c>
      <c r="E11" s="59"/>
      <c r="F11" s="59">
        <v>0</v>
      </c>
      <c r="G11" s="51"/>
      <c r="H11" s="69">
        <v>0</v>
      </c>
      <c r="I11" s="5">
        <f t="shared" si="0"/>
        <v>0</v>
      </c>
      <c r="O11" t="s">
        <v>4</v>
      </c>
      <c r="P11" s="1">
        <v>45511</v>
      </c>
      <c r="Q11" s="1"/>
      <c r="S11">
        <v>0</v>
      </c>
      <c r="AA11" s="37" t="s">
        <v>2</v>
      </c>
      <c r="AB11" s="80">
        <v>45572</v>
      </c>
      <c r="AC11" s="60"/>
      <c r="AD11" s="61">
        <v>0</v>
      </c>
      <c r="AE11" s="51"/>
      <c r="AF11" s="51">
        <v>0</v>
      </c>
      <c r="AG11" s="61"/>
      <c r="AH11" s="61">
        <v>0</v>
      </c>
      <c r="AI11" s="75">
        <f t="shared" si="1"/>
        <v>0</v>
      </c>
    </row>
    <row r="12" spans="1:35" x14ac:dyDescent="0.25">
      <c r="A12" t="s">
        <v>3</v>
      </c>
      <c r="B12" s="1">
        <v>45573</v>
      </c>
      <c r="C12" s="63"/>
      <c r="D12" s="51">
        <v>0</v>
      </c>
      <c r="E12" s="59"/>
      <c r="F12" s="59">
        <v>0</v>
      </c>
      <c r="G12" s="51"/>
      <c r="H12" s="69">
        <v>0</v>
      </c>
      <c r="I12" s="5">
        <f t="shared" si="0"/>
        <v>0</v>
      </c>
      <c r="O12" t="s">
        <v>5</v>
      </c>
      <c r="P12" s="1">
        <v>45512</v>
      </c>
      <c r="Q12" s="1"/>
      <c r="S12">
        <v>0</v>
      </c>
      <c r="AA12" s="37" t="s">
        <v>3</v>
      </c>
      <c r="AB12" s="80">
        <v>45573</v>
      </c>
      <c r="AC12" s="60"/>
      <c r="AD12" s="61">
        <v>0</v>
      </c>
      <c r="AE12" s="51"/>
      <c r="AF12" s="51">
        <v>0</v>
      </c>
      <c r="AG12" s="61"/>
      <c r="AH12" s="61">
        <v>0</v>
      </c>
      <c r="AI12" s="75">
        <f t="shared" si="1"/>
        <v>0</v>
      </c>
    </row>
    <row r="13" spans="1:35" x14ac:dyDescent="0.25">
      <c r="A13" t="s">
        <v>4</v>
      </c>
      <c r="B13" s="1">
        <v>45574</v>
      </c>
      <c r="C13" s="63"/>
      <c r="D13" s="51">
        <v>0</v>
      </c>
      <c r="E13" s="59"/>
      <c r="F13" s="59">
        <v>0</v>
      </c>
      <c r="G13" s="51"/>
      <c r="H13" s="69">
        <v>0</v>
      </c>
      <c r="I13" s="5">
        <f t="shared" si="0"/>
        <v>0</v>
      </c>
      <c r="O13" t="s">
        <v>6</v>
      </c>
      <c r="P13" s="1">
        <v>45513</v>
      </c>
      <c r="Q13" s="1"/>
      <c r="S13">
        <v>0</v>
      </c>
      <c r="AA13" s="37" t="s">
        <v>4</v>
      </c>
      <c r="AB13" s="80">
        <v>45574</v>
      </c>
      <c r="AC13" s="60"/>
      <c r="AD13" s="61">
        <v>0</v>
      </c>
      <c r="AE13" s="51"/>
      <c r="AF13" s="51">
        <v>0</v>
      </c>
      <c r="AG13" s="61"/>
      <c r="AH13" s="61">
        <v>0</v>
      </c>
      <c r="AI13" s="75">
        <f t="shared" si="1"/>
        <v>0</v>
      </c>
    </row>
    <row r="14" spans="1:35" x14ac:dyDescent="0.25">
      <c r="A14" t="s">
        <v>5</v>
      </c>
      <c r="B14" s="1">
        <v>45575</v>
      </c>
      <c r="C14" s="63"/>
      <c r="D14" s="51">
        <v>0</v>
      </c>
      <c r="E14" s="59"/>
      <c r="F14" s="59">
        <v>0</v>
      </c>
      <c r="G14" s="51"/>
      <c r="H14" s="69">
        <v>0</v>
      </c>
      <c r="I14" s="5">
        <f t="shared" si="0"/>
        <v>0</v>
      </c>
      <c r="O14" t="s">
        <v>7</v>
      </c>
      <c r="P14" s="1">
        <v>45514</v>
      </c>
      <c r="Q14" s="1"/>
      <c r="S14">
        <v>0</v>
      </c>
      <c r="AA14" s="37" t="s">
        <v>5</v>
      </c>
      <c r="AB14" s="80">
        <v>45575</v>
      </c>
      <c r="AC14" s="60"/>
      <c r="AD14" s="61">
        <v>0</v>
      </c>
      <c r="AE14" s="51"/>
      <c r="AF14" s="51">
        <v>0</v>
      </c>
      <c r="AG14" s="61"/>
      <c r="AH14" s="61">
        <v>0</v>
      </c>
      <c r="AI14" s="75">
        <f t="shared" si="1"/>
        <v>0</v>
      </c>
    </row>
    <row r="15" spans="1:35" x14ac:dyDescent="0.25">
      <c r="A15" t="s">
        <v>6</v>
      </c>
      <c r="B15" s="1">
        <v>45576</v>
      </c>
      <c r="C15" s="63"/>
      <c r="D15" s="51">
        <v>0</v>
      </c>
      <c r="E15" s="59"/>
      <c r="F15" s="59">
        <v>0</v>
      </c>
      <c r="G15" s="51"/>
      <c r="H15" s="69">
        <v>0</v>
      </c>
      <c r="I15" s="5">
        <f t="shared" si="0"/>
        <v>0</v>
      </c>
      <c r="O15" t="s">
        <v>8</v>
      </c>
      <c r="P15" s="1">
        <v>45515</v>
      </c>
      <c r="Q15" s="1"/>
      <c r="S15">
        <v>0</v>
      </c>
      <c r="AA15" s="37" t="s">
        <v>6</v>
      </c>
      <c r="AB15" s="80">
        <v>45576</v>
      </c>
      <c r="AC15" s="60"/>
      <c r="AD15" s="61">
        <v>0</v>
      </c>
      <c r="AE15" s="51"/>
      <c r="AF15" s="51">
        <v>0</v>
      </c>
      <c r="AG15" s="61"/>
      <c r="AH15" s="61">
        <v>0</v>
      </c>
      <c r="AI15" s="75">
        <f t="shared" si="1"/>
        <v>0</v>
      </c>
    </row>
    <row r="16" spans="1:35" x14ac:dyDescent="0.25">
      <c r="A16" t="s">
        <v>7</v>
      </c>
      <c r="B16" s="1">
        <v>45577</v>
      </c>
      <c r="C16" s="63"/>
      <c r="D16" s="51">
        <v>0</v>
      </c>
      <c r="E16" s="59"/>
      <c r="F16" s="59">
        <v>0</v>
      </c>
      <c r="G16" s="51"/>
      <c r="H16" s="69">
        <v>0</v>
      </c>
      <c r="I16" s="5">
        <f t="shared" si="0"/>
        <v>0</v>
      </c>
      <c r="O16" t="s">
        <v>2</v>
      </c>
      <c r="P16" s="1">
        <v>45516</v>
      </c>
      <c r="Q16" s="1"/>
      <c r="S16">
        <v>0</v>
      </c>
      <c r="AA16" s="37" t="s">
        <v>7</v>
      </c>
      <c r="AB16" s="80">
        <v>45577</v>
      </c>
      <c r="AC16" s="60"/>
      <c r="AD16" s="61">
        <v>0</v>
      </c>
      <c r="AE16" s="51"/>
      <c r="AF16" s="51">
        <v>0</v>
      </c>
      <c r="AG16" s="61"/>
      <c r="AH16" s="61">
        <v>0</v>
      </c>
      <c r="AI16" s="75">
        <f t="shared" si="1"/>
        <v>0</v>
      </c>
    </row>
    <row r="17" spans="1:35" x14ac:dyDescent="0.25">
      <c r="A17" t="s">
        <v>8</v>
      </c>
      <c r="B17" s="1">
        <v>45578</v>
      </c>
      <c r="C17" s="63"/>
      <c r="D17" s="51">
        <v>0</v>
      </c>
      <c r="E17" s="59"/>
      <c r="F17" s="59">
        <v>0</v>
      </c>
      <c r="G17" s="51"/>
      <c r="H17" s="69">
        <v>0</v>
      </c>
      <c r="I17" s="5">
        <f t="shared" si="0"/>
        <v>0</v>
      </c>
      <c r="O17" t="s">
        <v>3</v>
      </c>
      <c r="P17" s="1">
        <v>45517</v>
      </c>
      <c r="Q17" s="1"/>
      <c r="S17">
        <v>0</v>
      </c>
      <c r="AA17" s="37" t="s">
        <v>8</v>
      </c>
      <c r="AB17" s="80">
        <v>45578</v>
      </c>
      <c r="AC17" s="60"/>
      <c r="AD17" s="61"/>
      <c r="AE17" s="51"/>
      <c r="AF17" s="51"/>
      <c r="AG17" s="61"/>
      <c r="AH17" s="61"/>
      <c r="AI17" s="75">
        <f t="shared" si="1"/>
        <v>0</v>
      </c>
    </row>
    <row r="18" spans="1:35" x14ac:dyDescent="0.25">
      <c r="A18" t="s">
        <v>2</v>
      </c>
      <c r="B18" s="1">
        <v>45579</v>
      </c>
      <c r="C18" s="63"/>
      <c r="D18" s="51">
        <v>0</v>
      </c>
      <c r="E18" s="59"/>
      <c r="F18" s="59">
        <v>0</v>
      </c>
      <c r="G18" s="51"/>
      <c r="H18" s="69">
        <v>0</v>
      </c>
      <c r="I18" s="5">
        <f t="shared" si="0"/>
        <v>0</v>
      </c>
      <c r="O18" t="s">
        <v>4</v>
      </c>
      <c r="P18" s="1">
        <v>45518</v>
      </c>
      <c r="Q18" s="1"/>
      <c r="S18">
        <v>0</v>
      </c>
      <c r="AA18" s="37" t="s">
        <v>2</v>
      </c>
      <c r="AB18" s="80">
        <v>45579</v>
      </c>
      <c r="AC18" s="60"/>
      <c r="AD18" s="61">
        <v>0</v>
      </c>
      <c r="AE18" s="51"/>
      <c r="AF18" s="51">
        <v>0</v>
      </c>
      <c r="AG18" s="61"/>
      <c r="AH18" s="61">
        <v>0</v>
      </c>
      <c r="AI18" s="75">
        <f t="shared" si="1"/>
        <v>0</v>
      </c>
    </row>
    <row r="19" spans="1:35" x14ac:dyDescent="0.25">
      <c r="A19" t="s">
        <v>3</v>
      </c>
      <c r="B19" s="1">
        <v>45580</v>
      </c>
      <c r="C19" s="63"/>
      <c r="D19" s="51">
        <v>0</v>
      </c>
      <c r="E19" s="59"/>
      <c r="F19" s="59">
        <v>0</v>
      </c>
      <c r="G19" s="51"/>
      <c r="H19" s="69">
        <v>0</v>
      </c>
      <c r="I19" s="5">
        <f t="shared" si="0"/>
        <v>0</v>
      </c>
      <c r="O19" t="s">
        <v>5</v>
      </c>
      <c r="P19" s="1">
        <v>45519</v>
      </c>
      <c r="Q19" s="1"/>
      <c r="S19">
        <v>0</v>
      </c>
      <c r="AA19" s="37" t="s">
        <v>3</v>
      </c>
      <c r="AB19" s="80">
        <v>45580</v>
      </c>
      <c r="AC19" s="60"/>
      <c r="AD19" s="61">
        <v>0</v>
      </c>
      <c r="AE19" s="51"/>
      <c r="AF19" s="51">
        <v>0</v>
      </c>
      <c r="AG19" s="61"/>
      <c r="AH19" s="61">
        <v>0</v>
      </c>
      <c r="AI19" s="75">
        <f t="shared" si="1"/>
        <v>0</v>
      </c>
    </row>
    <row r="20" spans="1:35" x14ac:dyDescent="0.25">
      <c r="A20" t="s">
        <v>4</v>
      </c>
      <c r="B20" s="1">
        <v>45581</v>
      </c>
      <c r="C20" s="63"/>
      <c r="D20" s="51">
        <v>0</v>
      </c>
      <c r="E20" s="59"/>
      <c r="F20" s="59">
        <v>0</v>
      </c>
      <c r="G20" s="51"/>
      <c r="H20" s="69">
        <v>0</v>
      </c>
      <c r="I20" s="5">
        <f t="shared" si="0"/>
        <v>0</v>
      </c>
      <c r="O20" t="s">
        <v>6</v>
      </c>
      <c r="P20" s="1">
        <v>45520</v>
      </c>
      <c r="Q20" s="1"/>
      <c r="S20">
        <v>0</v>
      </c>
      <c r="AA20" s="37" t="s">
        <v>4</v>
      </c>
      <c r="AB20" s="80">
        <v>45581</v>
      </c>
      <c r="AC20" s="60"/>
      <c r="AD20" s="61"/>
      <c r="AE20" s="51"/>
      <c r="AF20" s="51">
        <v>0</v>
      </c>
      <c r="AG20" s="61"/>
      <c r="AH20" s="61">
        <v>0</v>
      </c>
      <c r="AI20" s="75">
        <f t="shared" si="1"/>
        <v>0</v>
      </c>
    </row>
    <row r="21" spans="1:35" x14ac:dyDescent="0.25">
      <c r="A21" t="s">
        <v>5</v>
      </c>
      <c r="B21" s="1">
        <v>45582</v>
      </c>
      <c r="C21" s="63"/>
      <c r="D21" s="51">
        <v>0</v>
      </c>
      <c r="E21" s="59"/>
      <c r="F21" s="59">
        <v>0</v>
      </c>
      <c r="G21" s="51"/>
      <c r="H21" s="69">
        <v>0</v>
      </c>
      <c r="I21" s="5">
        <f t="shared" si="0"/>
        <v>0</v>
      </c>
      <c r="O21" t="s">
        <v>7</v>
      </c>
      <c r="P21" s="1">
        <v>45521</v>
      </c>
      <c r="Q21" s="1" t="s">
        <v>74</v>
      </c>
      <c r="R21" t="s">
        <v>75</v>
      </c>
      <c r="S21">
        <v>1800</v>
      </c>
      <c r="AA21" s="37" t="s">
        <v>5</v>
      </c>
      <c r="AB21" s="80">
        <v>45582</v>
      </c>
      <c r="AC21" s="60"/>
      <c r="AD21" s="61">
        <v>0</v>
      </c>
      <c r="AE21" s="51"/>
      <c r="AF21" s="51">
        <v>0</v>
      </c>
      <c r="AG21" s="61"/>
      <c r="AH21" s="61">
        <v>0</v>
      </c>
      <c r="AI21" s="75">
        <f t="shared" si="1"/>
        <v>0</v>
      </c>
    </row>
    <row r="22" spans="1:35" x14ac:dyDescent="0.25">
      <c r="A22" t="s">
        <v>6</v>
      </c>
      <c r="B22" s="1">
        <v>45583</v>
      </c>
      <c r="C22" s="63"/>
      <c r="D22" s="51">
        <v>0</v>
      </c>
      <c r="E22" s="59"/>
      <c r="F22" s="59">
        <v>0</v>
      </c>
      <c r="G22" s="51"/>
      <c r="H22" s="69">
        <v>0</v>
      </c>
      <c r="I22" s="5">
        <f t="shared" si="0"/>
        <v>0</v>
      </c>
      <c r="O22" t="s">
        <v>8</v>
      </c>
      <c r="P22" s="1">
        <v>45522</v>
      </c>
      <c r="Q22" s="1"/>
      <c r="S22">
        <v>0</v>
      </c>
      <c r="AA22" s="37" t="s">
        <v>6</v>
      </c>
      <c r="AB22" s="80">
        <v>45583</v>
      </c>
      <c r="AC22" s="60"/>
      <c r="AD22" s="61">
        <v>0</v>
      </c>
      <c r="AE22" s="51"/>
      <c r="AF22" s="51">
        <v>0</v>
      </c>
      <c r="AG22" s="61"/>
      <c r="AH22" s="61">
        <v>0</v>
      </c>
      <c r="AI22" s="75">
        <f t="shared" si="1"/>
        <v>0</v>
      </c>
    </row>
    <row r="23" spans="1:35" x14ac:dyDescent="0.25">
      <c r="A23" t="s">
        <v>7</v>
      </c>
      <c r="B23" s="1">
        <v>45584</v>
      </c>
      <c r="C23" s="63"/>
      <c r="D23" s="51">
        <v>0</v>
      </c>
      <c r="E23" s="59"/>
      <c r="F23" s="59">
        <v>0</v>
      </c>
      <c r="G23" s="51"/>
      <c r="H23" s="69">
        <v>0</v>
      </c>
      <c r="I23" s="5">
        <f t="shared" si="0"/>
        <v>0</v>
      </c>
      <c r="O23" t="s">
        <v>2</v>
      </c>
      <c r="P23" s="1">
        <v>45523</v>
      </c>
      <c r="Q23" s="1"/>
      <c r="S23">
        <v>0</v>
      </c>
      <c r="AA23" s="37" t="s">
        <v>7</v>
      </c>
      <c r="AB23" s="80">
        <v>45584</v>
      </c>
      <c r="AC23" s="60"/>
      <c r="AD23" s="61"/>
      <c r="AE23" s="51"/>
      <c r="AF23" s="51"/>
      <c r="AG23" s="61"/>
      <c r="AH23" s="61"/>
      <c r="AI23" s="75">
        <f t="shared" si="1"/>
        <v>0</v>
      </c>
    </row>
    <row r="24" spans="1:35" x14ac:dyDescent="0.25">
      <c r="A24" t="s">
        <v>8</v>
      </c>
      <c r="B24" s="1">
        <v>45585</v>
      </c>
      <c r="C24" s="63"/>
      <c r="D24" s="51">
        <v>0</v>
      </c>
      <c r="E24" s="59"/>
      <c r="F24" s="59">
        <v>0</v>
      </c>
      <c r="G24" s="51"/>
      <c r="H24" s="69">
        <v>0</v>
      </c>
      <c r="I24" s="5">
        <f t="shared" si="0"/>
        <v>0</v>
      </c>
      <c r="O24" t="s">
        <v>3</v>
      </c>
      <c r="P24" s="1">
        <v>45524</v>
      </c>
      <c r="Q24" s="1"/>
      <c r="S24">
        <v>0</v>
      </c>
      <c r="AA24" s="37" t="s">
        <v>8</v>
      </c>
      <c r="AB24" s="80">
        <v>45585</v>
      </c>
      <c r="AC24" s="60"/>
      <c r="AD24" s="61">
        <v>0</v>
      </c>
      <c r="AE24" s="51"/>
      <c r="AF24" s="51">
        <v>0</v>
      </c>
      <c r="AG24" s="61"/>
      <c r="AH24" s="61">
        <v>0</v>
      </c>
      <c r="AI24" s="75">
        <f t="shared" si="1"/>
        <v>0</v>
      </c>
    </row>
    <row r="25" spans="1:35" x14ac:dyDescent="0.25">
      <c r="A25" t="s">
        <v>2</v>
      </c>
      <c r="B25" s="1">
        <v>45586</v>
      </c>
      <c r="C25" s="63"/>
      <c r="D25" s="51">
        <v>0</v>
      </c>
      <c r="E25" s="59"/>
      <c r="F25" s="59">
        <v>0</v>
      </c>
      <c r="G25" s="51"/>
      <c r="H25" s="69">
        <v>0</v>
      </c>
      <c r="I25" s="5">
        <f t="shared" si="0"/>
        <v>0</v>
      </c>
      <c r="O25" t="s">
        <v>4</v>
      </c>
      <c r="P25" s="1">
        <v>45525</v>
      </c>
      <c r="Q25" s="1"/>
      <c r="S25">
        <v>0</v>
      </c>
      <c r="AA25" s="37" t="s">
        <v>2</v>
      </c>
      <c r="AB25" s="80">
        <v>45586</v>
      </c>
      <c r="AC25" s="60"/>
      <c r="AD25" s="61">
        <v>0</v>
      </c>
      <c r="AE25" s="51"/>
      <c r="AF25" s="51">
        <v>0</v>
      </c>
      <c r="AG25" s="61"/>
      <c r="AH25" s="61">
        <v>0</v>
      </c>
      <c r="AI25" s="75">
        <f t="shared" si="1"/>
        <v>0</v>
      </c>
    </row>
    <row r="26" spans="1:35" x14ac:dyDescent="0.25">
      <c r="A26" t="s">
        <v>3</v>
      </c>
      <c r="B26" s="1">
        <v>45587</v>
      </c>
      <c r="C26" s="63"/>
      <c r="D26" s="51">
        <v>0</v>
      </c>
      <c r="E26" s="59"/>
      <c r="F26" s="59">
        <v>0</v>
      </c>
      <c r="G26" s="51"/>
      <c r="H26" s="69">
        <v>0</v>
      </c>
      <c r="I26" s="5">
        <f t="shared" si="0"/>
        <v>0</v>
      </c>
      <c r="O26" t="s">
        <v>5</v>
      </c>
      <c r="P26" s="1">
        <v>45526</v>
      </c>
      <c r="Q26" s="1"/>
      <c r="S26">
        <v>0</v>
      </c>
      <c r="AA26" s="37" t="s">
        <v>3</v>
      </c>
      <c r="AB26" s="80">
        <v>45587</v>
      </c>
      <c r="AC26" s="60"/>
      <c r="AD26" s="61">
        <v>0</v>
      </c>
      <c r="AE26" s="51"/>
      <c r="AF26" s="51">
        <v>0</v>
      </c>
      <c r="AG26" s="61"/>
      <c r="AH26" s="61">
        <v>0</v>
      </c>
      <c r="AI26" s="75">
        <f t="shared" si="1"/>
        <v>0</v>
      </c>
    </row>
    <row r="27" spans="1:35" x14ac:dyDescent="0.25">
      <c r="A27" t="s">
        <v>4</v>
      </c>
      <c r="B27" s="1">
        <v>45588</v>
      </c>
      <c r="C27" s="63"/>
      <c r="D27" s="51">
        <v>0</v>
      </c>
      <c r="E27" s="59"/>
      <c r="F27" s="59">
        <v>0</v>
      </c>
      <c r="G27" s="51"/>
      <c r="H27" s="69">
        <v>0</v>
      </c>
      <c r="I27" s="5">
        <f t="shared" si="0"/>
        <v>0</v>
      </c>
      <c r="O27" t="s">
        <v>6</v>
      </c>
      <c r="P27" s="1">
        <v>45527</v>
      </c>
      <c r="Q27" s="1"/>
      <c r="S27">
        <v>0</v>
      </c>
      <c r="AA27" s="37" t="s">
        <v>4</v>
      </c>
      <c r="AB27" s="80">
        <v>45588</v>
      </c>
      <c r="AC27" s="60"/>
      <c r="AD27" s="61">
        <v>0</v>
      </c>
      <c r="AE27" s="51"/>
      <c r="AF27" s="51">
        <v>0</v>
      </c>
      <c r="AG27" s="61"/>
      <c r="AH27" s="61">
        <v>0</v>
      </c>
      <c r="AI27" s="75">
        <f t="shared" si="1"/>
        <v>0</v>
      </c>
    </row>
    <row r="28" spans="1:35" x14ac:dyDescent="0.25">
      <c r="A28" t="s">
        <v>5</v>
      </c>
      <c r="B28" s="1">
        <v>45589</v>
      </c>
      <c r="C28" s="63"/>
      <c r="D28" s="51">
        <v>0</v>
      </c>
      <c r="E28" s="59"/>
      <c r="F28" s="59">
        <v>0</v>
      </c>
      <c r="G28" s="51"/>
      <c r="H28" s="69">
        <v>0</v>
      </c>
      <c r="I28" s="5">
        <f t="shared" si="0"/>
        <v>0</v>
      </c>
      <c r="O28" t="s">
        <v>7</v>
      </c>
      <c r="P28" s="1">
        <v>45528</v>
      </c>
      <c r="Q28" s="1"/>
      <c r="S28">
        <v>0</v>
      </c>
      <c r="AA28" s="37" t="s">
        <v>5</v>
      </c>
      <c r="AB28" s="80">
        <v>45589</v>
      </c>
      <c r="AC28" s="60"/>
      <c r="AD28" s="61">
        <v>0</v>
      </c>
      <c r="AE28" s="51"/>
      <c r="AF28" s="51">
        <v>0</v>
      </c>
      <c r="AG28" s="61"/>
      <c r="AH28" s="61">
        <v>0</v>
      </c>
      <c r="AI28" s="75">
        <f t="shared" si="1"/>
        <v>0</v>
      </c>
    </row>
    <row r="29" spans="1:35" x14ac:dyDescent="0.25">
      <c r="A29" t="s">
        <v>6</v>
      </c>
      <c r="B29" s="1">
        <v>45590</v>
      </c>
      <c r="C29" s="63"/>
      <c r="D29" s="51">
        <v>0</v>
      </c>
      <c r="E29" s="59"/>
      <c r="F29" s="59">
        <v>0</v>
      </c>
      <c r="G29" s="51"/>
      <c r="H29" s="69">
        <v>0</v>
      </c>
      <c r="I29" s="5">
        <f t="shared" si="0"/>
        <v>0</v>
      </c>
      <c r="O29" t="s">
        <v>8</v>
      </c>
      <c r="P29" s="1">
        <v>45529</v>
      </c>
      <c r="Q29" s="1"/>
      <c r="S29">
        <v>0</v>
      </c>
      <c r="AA29" s="37" t="s">
        <v>6</v>
      </c>
      <c r="AB29" s="80">
        <v>45590</v>
      </c>
      <c r="AC29" s="60"/>
      <c r="AD29" s="61">
        <v>0</v>
      </c>
      <c r="AE29" s="51"/>
      <c r="AF29" s="51">
        <v>0</v>
      </c>
      <c r="AG29" s="61"/>
      <c r="AH29" s="61">
        <v>0</v>
      </c>
      <c r="AI29" s="75">
        <f t="shared" si="1"/>
        <v>0</v>
      </c>
    </row>
    <row r="30" spans="1:35" x14ac:dyDescent="0.25">
      <c r="A30" t="s">
        <v>7</v>
      </c>
      <c r="B30" s="1">
        <v>45591</v>
      </c>
      <c r="C30" s="63"/>
      <c r="D30" s="51">
        <v>0</v>
      </c>
      <c r="E30" s="59"/>
      <c r="F30" s="59">
        <v>0</v>
      </c>
      <c r="G30" s="51"/>
      <c r="H30" s="69">
        <v>0</v>
      </c>
      <c r="I30" s="5">
        <f t="shared" si="0"/>
        <v>0</v>
      </c>
      <c r="O30" t="s">
        <v>2</v>
      </c>
      <c r="P30" s="1">
        <v>45530</v>
      </c>
      <c r="Q30" s="1"/>
      <c r="S30">
        <v>0</v>
      </c>
      <c r="AA30" s="37" t="s">
        <v>7</v>
      </c>
      <c r="AB30" s="80">
        <v>45591</v>
      </c>
      <c r="AC30" s="60"/>
      <c r="AD30" s="61">
        <v>0</v>
      </c>
      <c r="AE30" s="51"/>
      <c r="AF30" s="51">
        <v>0</v>
      </c>
      <c r="AG30" s="61"/>
      <c r="AH30" s="61">
        <v>0</v>
      </c>
      <c r="AI30" s="75">
        <f t="shared" si="1"/>
        <v>0</v>
      </c>
    </row>
    <row r="31" spans="1:35" x14ac:dyDescent="0.25">
      <c r="A31" t="s">
        <v>8</v>
      </c>
      <c r="B31" s="1">
        <v>45592</v>
      </c>
      <c r="C31" s="63"/>
      <c r="D31" s="51">
        <v>0</v>
      </c>
      <c r="E31" s="59"/>
      <c r="F31" s="59">
        <v>0</v>
      </c>
      <c r="G31" s="51"/>
      <c r="H31" s="69">
        <v>0</v>
      </c>
      <c r="I31" s="5">
        <f t="shared" si="0"/>
        <v>0</v>
      </c>
      <c r="O31" t="s">
        <v>3</v>
      </c>
      <c r="P31" s="1">
        <v>45531</v>
      </c>
      <c r="Q31" s="1"/>
      <c r="S31">
        <v>100</v>
      </c>
      <c r="AA31" s="37" t="s">
        <v>8</v>
      </c>
      <c r="AB31" s="80">
        <v>45592</v>
      </c>
      <c r="AC31" s="60"/>
      <c r="AD31" s="61">
        <v>0</v>
      </c>
      <c r="AE31" s="51"/>
      <c r="AF31" s="51">
        <v>0</v>
      </c>
      <c r="AG31" s="61"/>
      <c r="AH31" s="61">
        <v>0</v>
      </c>
      <c r="AI31" s="75">
        <f t="shared" si="1"/>
        <v>0</v>
      </c>
    </row>
    <row r="32" spans="1:35" x14ac:dyDescent="0.25">
      <c r="A32" t="s">
        <v>2</v>
      </c>
      <c r="B32" s="1">
        <v>45593</v>
      </c>
      <c r="C32" s="63"/>
      <c r="D32" s="51">
        <v>0</v>
      </c>
      <c r="E32" s="59"/>
      <c r="F32" s="59">
        <v>0</v>
      </c>
      <c r="G32" s="51"/>
      <c r="H32" s="69">
        <v>0</v>
      </c>
      <c r="I32" s="5">
        <f t="shared" si="0"/>
        <v>0</v>
      </c>
      <c r="O32" t="s">
        <v>4</v>
      </c>
      <c r="P32" s="1">
        <v>45532</v>
      </c>
      <c r="Q32" s="1"/>
      <c r="S32">
        <v>0</v>
      </c>
      <c r="AA32" s="37" t="s">
        <v>2</v>
      </c>
      <c r="AB32" s="80">
        <v>45593</v>
      </c>
      <c r="AC32" s="60"/>
      <c r="AD32" s="61">
        <v>0</v>
      </c>
      <c r="AE32" s="51"/>
      <c r="AF32" s="51">
        <v>0</v>
      </c>
      <c r="AG32" s="61"/>
      <c r="AH32" s="61">
        <v>0</v>
      </c>
      <c r="AI32" s="75">
        <f t="shared" si="1"/>
        <v>0</v>
      </c>
    </row>
    <row r="33" spans="1:35" x14ac:dyDescent="0.25">
      <c r="A33" t="s">
        <v>3</v>
      </c>
      <c r="B33" s="1">
        <v>45594</v>
      </c>
      <c r="C33" s="63"/>
      <c r="D33" s="51">
        <v>0</v>
      </c>
      <c r="E33" s="59"/>
      <c r="F33" s="59">
        <v>0</v>
      </c>
      <c r="G33" s="51"/>
      <c r="H33" s="69">
        <v>0</v>
      </c>
      <c r="I33" s="5">
        <f t="shared" si="0"/>
        <v>0</v>
      </c>
      <c r="O33" t="s">
        <v>5</v>
      </c>
      <c r="P33" s="1">
        <v>45533</v>
      </c>
      <c r="Q33" s="1"/>
      <c r="S33">
        <v>0</v>
      </c>
      <c r="AA33" s="37" t="s">
        <v>3</v>
      </c>
      <c r="AB33" s="80">
        <v>45594</v>
      </c>
      <c r="AC33" s="60"/>
      <c r="AD33" s="61">
        <v>0</v>
      </c>
      <c r="AE33" s="51"/>
      <c r="AF33" s="51">
        <v>0</v>
      </c>
      <c r="AG33" s="61"/>
      <c r="AH33" s="61">
        <v>0</v>
      </c>
      <c r="AI33" s="75">
        <f t="shared" si="1"/>
        <v>0</v>
      </c>
    </row>
    <row r="34" spans="1:35" x14ac:dyDescent="0.25">
      <c r="A34" t="s">
        <v>4</v>
      </c>
      <c r="B34" s="1">
        <v>45595</v>
      </c>
      <c r="C34" s="63"/>
      <c r="D34" s="51">
        <v>0</v>
      </c>
      <c r="E34" s="59"/>
      <c r="F34" s="59">
        <v>0</v>
      </c>
      <c r="G34" s="51"/>
      <c r="H34" s="69">
        <v>0</v>
      </c>
      <c r="I34" s="5">
        <f t="shared" si="0"/>
        <v>0</v>
      </c>
      <c r="O34" t="s">
        <v>6</v>
      </c>
      <c r="P34" s="1">
        <v>45534</v>
      </c>
      <c r="Q34" s="1"/>
      <c r="S34">
        <v>0</v>
      </c>
      <c r="AA34" s="37" t="s">
        <v>4</v>
      </c>
      <c r="AB34" s="80">
        <v>45595</v>
      </c>
      <c r="AC34" s="60"/>
      <c r="AD34" s="61"/>
      <c r="AE34" s="51"/>
      <c r="AF34" s="51">
        <v>0</v>
      </c>
      <c r="AG34" s="61"/>
      <c r="AH34" s="61">
        <v>0</v>
      </c>
      <c r="AI34" s="75">
        <f t="shared" si="1"/>
        <v>0</v>
      </c>
    </row>
    <row r="35" spans="1:35" ht="15.75" thickBot="1" x14ac:dyDescent="0.3">
      <c r="A35" t="s">
        <v>5</v>
      </c>
      <c r="B35" s="1">
        <v>45596</v>
      </c>
      <c r="C35" s="64"/>
      <c r="D35" s="65">
        <v>0</v>
      </c>
      <c r="E35" s="70"/>
      <c r="F35" s="70">
        <v>0</v>
      </c>
      <c r="G35" s="65"/>
      <c r="H35" s="71">
        <v>0</v>
      </c>
      <c r="I35" s="5">
        <f t="shared" si="0"/>
        <v>0</v>
      </c>
      <c r="O35" t="s">
        <v>7</v>
      </c>
      <c r="P35" s="1">
        <v>45535</v>
      </c>
      <c r="Q35" s="1"/>
      <c r="S35">
        <v>300</v>
      </c>
      <c r="AA35" s="37" t="s">
        <v>5</v>
      </c>
      <c r="AB35" s="80">
        <v>45596</v>
      </c>
      <c r="AC35" s="60"/>
      <c r="AD35" s="61">
        <v>0</v>
      </c>
      <c r="AE35" s="51"/>
      <c r="AF35" s="51">
        <v>0</v>
      </c>
      <c r="AG35" s="62"/>
      <c r="AH35" s="61">
        <v>0</v>
      </c>
      <c r="AI35" s="76">
        <f>SUM(AD35,AF35,AH35,)</f>
        <v>0</v>
      </c>
    </row>
    <row r="36" spans="1:35" x14ac:dyDescent="0.25">
      <c r="B36" s="5" t="s">
        <v>26</v>
      </c>
      <c r="D36" s="5"/>
      <c r="I36" s="5">
        <f>SUM(I5:I35)</f>
        <v>16100</v>
      </c>
      <c r="P36" s="5" t="s">
        <v>26</v>
      </c>
      <c r="Q36" s="5"/>
      <c r="S36" s="5">
        <f>SUM(S5:S35)</f>
        <v>2200</v>
      </c>
      <c r="AB36" t="s">
        <v>26</v>
      </c>
      <c r="AI36">
        <f>SUM(AI5:AI35)</f>
        <v>5000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ACCOUNT</vt:lpstr>
      <vt:lpstr>DENI</vt:lpstr>
      <vt:lpstr>DISCOUNT ACCOUNT</vt:lpstr>
      <vt:lpstr>LIABILITY</vt:lpstr>
      <vt:lpstr>ACCOUNTS</vt:lpstr>
      <vt:lpstr>EXPENSE ACCOUNT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2024-07-30T09:59:57Z</dcterms:created>
  <dcterms:modified xsi:type="dcterms:W3CDTF">2024-10-10T10:40:22Z</dcterms:modified>
</cp:coreProperties>
</file>